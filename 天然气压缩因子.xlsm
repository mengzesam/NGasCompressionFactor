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\NGZ\天然气压缩因子计算\"/>
    </mc:Choice>
  </mc:AlternateContent>
  <xr:revisionPtr revIDLastSave="0" documentId="13_ncr:1_{217D62C9-D2E0-454D-AE97-CF446721F126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AGA8-92DC-test" sheetId="20" r:id="rId1"/>
    <sheet name="SGERG-88-test" sheetId="2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0" l="1"/>
  <c r="D6" i="21"/>
  <c r="H6" i="21"/>
  <c r="G7" i="21"/>
  <c r="F8" i="21"/>
  <c r="E9" i="21"/>
  <c r="D10" i="21"/>
  <c r="H10" i="21"/>
  <c r="G11" i="21"/>
  <c r="F12" i="21"/>
  <c r="E13" i="21"/>
  <c r="D14" i="21"/>
  <c r="H14" i="21"/>
  <c r="G15" i="21"/>
  <c r="E6" i="21"/>
  <c r="D7" i="21"/>
  <c r="H7" i="21"/>
  <c r="G8" i="21"/>
  <c r="F9" i="21"/>
  <c r="E10" i="21"/>
  <c r="D11" i="21"/>
  <c r="H11" i="21"/>
  <c r="G12" i="21"/>
  <c r="F13" i="21"/>
  <c r="E14" i="21"/>
  <c r="D15" i="21"/>
  <c r="H15" i="21"/>
  <c r="F6" i="21"/>
  <c r="E7" i="21"/>
  <c r="D8" i="21"/>
  <c r="H8" i="21"/>
  <c r="G9" i="21"/>
  <c r="F10" i="21"/>
  <c r="E11" i="21"/>
  <c r="D12" i="21"/>
  <c r="H12" i="21"/>
  <c r="G13" i="21"/>
  <c r="F14" i="21"/>
  <c r="E15" i="21"/>
  <c r="G6" i="21"/>
  <c r="F7" i="21"/>
  <c r="E8" i="21"/>
  <c r="D9" i="21"/>
  <c r="H9" i="21"/>
  <c r="G10" i="21"/>
  <c r="F11" i="21"/>
  <c r="E12" i="21"/>
  <c r="D13" i="21"/>
  <c r="H13" i="21"/>
  <c r="G14" i="21"/>
  <c r="F15" i="21"/>
  <c r="C7" i="21"/>
  <c r="C11" i="21"/>
  <c r="C15" i="21"/>
  <c r="C14" i="21"/>
  <c r="C8" i="21"/>
  <c r="C12" i="21"/>
  <c r="C9" i="21"/>
  <c r="C13" i="21"/>
  <c r="C10" i="21"/>
  <c r="C6" i="21"/>
  <c r="C17" i="20"/>
  <c r="C22" i="20"/>
  <c r="C20" i="20"/>
  <c r="F18" i="20"/>
  <c r="G21" i="20"/>
  <c r="H24" i="20"/>
  <c r="F25" i="20"/>
  <c r="G18" i="20"/>
  <c r="H21" i="20"/>
  <c r="D25" i="20"/>
  <c r="F21" i="20"/>
  <c r="D18" i="20"/>
  <c r="E21" i="20"/>
  <c r="F24" i="20"/>
  <c r="G20" i="20"/>
  <c r="D24" i="20"/>
  <c r="D21" i="20"/>
  <c r="F20" i="20"/>
  <c r="C21" i="20"/>
  <c r="C24" i="20"/>
  <c r="D16" i="20"/>
  <c r="E19" i="20"/>
  <c r="F22" i="20"/>
  <c r="G25" i="20"/>
  <c r="E16" i="20"/>
  <c r="F19" i="20"/>
  <c r="G22" i="20"/>
  <c r="H25" i="20"/>
  <c r="H23" i="20"/>
  <c r="H18" i="20"/>
  <c r="D22" i="20"/>
  <c r="E25" i="20"/>
  <c r="E22" i="20"/>
  <c r="C23" i="20"/>
  <c r="H20" i="20"/>
  <c r="H17" i="20"/>
  <c r="E24" i="20"/>
  <c r="E17" i="20"/>
  <c r="E18" i="20"/>
  <c r="C25" i="20"/>
  <c r="C19" i="20"/>
  <c r="H16" i="20"/>
  <c r="D20" i="20"/>
  <c r="E23" i="20"/>
  <c r="H19" i="20"/>
  <c r="D17" i="20"/>
  <c r="E20" i="20"/>
  <c r="F23" i="20"/>
  <c r="F17" i="20"/>
  <c r="F16" i="20"/>
  <c r="G19" i="20"/>
  <c r="H22" i="20"/>
  <c r="G16" i="20"/>
  <c r="G24" i="20"/>
  <c r="C18" i="20"/>
  <c r="G17" i="20"/>
  <c r="D23" i="20"/>
  <c r="D19" i="20"/>
  <c r="G23" i="20"/>
</calcChain>
</file>

<file path=xl/sharedStrings.xml><?xml version="1.0" encoding="utf-8"?>
<sst xmlns="http://schemas.openxmlformats.org/spreadsheetml/2006/main" count="34" uniqueCount="22">
  <si>
    <t>x(CH4)</t>
  </si>
  <si>
    <t>x(N2)</t>
  </si>
  <si>
    <t>x(H2)</t>
  </si>
  <si>
    <t>x(CO2)</t>
  </si>
  <si>
    <t>x(CO)</t>
  </si>
  <si>
    <t>x(C2H6)</t>
  </si>
  <si>
    <t>x(C3H8)</t>
  </si>
  <si>
    <t>x(C6H14)</t>
  </si>
  <si>
    <t>x(C7H16)</t>
  </si>
  <si>
    <t>x(C8H18)</t>
  </si>
  <si>
    <t>x(i-C4H10)</t>
  </si>
  <si>
    <t>x(i-C5H12)</t>
  </si>
  <si>
    <t>x(n-C4H10)</t>
  </si>
  <si>
    <t>x(n-C5H12)</t>
  </si>
  <si>
    <t>p</t>
    <phoneticPr fontId="1" type="noConversion"/>
  </si>
  <si>
    <t>t</t>
    <phoneticPr fontId="1" type="noConversion"/>
  </si>
  <si>
    <t>Z</t>
    <phoneticPr fontId="1" type="noConversion"/>
  </si>
  <si>
    <t>p</t>
    <phoneticPr fontId="1" type="noConversion"/>
  </si>
  <si>
    <t>Hs</t>
    <phoneticPr fontId="1" type="noConversion"/>
  </si>
  <si>
    <t>xCO2</t>
    <phoneticPr fontId="1" type="noConversion"/>
  </si>
  <si>
    <t>xH2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</si>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</sst>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"/>
    <numFmt numFmtId="177" formatCode="0.0000"/>
    <numFmt numFmtId="178" formatCode="0.000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76" fontId="0" fillId="0" borderId="0" xfId="0" applyNumberFormat="1"/>
    <xf numFmtId="177" fontId="0" fillId="0" borderId="0" xfId="0" applyNumberFormat="1"/>
    <xf numFmtId="178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14</xdr:col>
      <xdr:colOff>493988</xdr:colOff>
      <xdr:row>48</xdr:row>
      <xdr:rowOff>132836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079D561-5703-499A-9D36-4F8DA4D0B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705350"/>
          <a:ext cx="10495238" cy="41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8</xdr:col>
      <xdr:colOff>522706</xdr:colOff>
      <xdr:row>40</xdr:row>
      <xdr:rowOff>75648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45A82A0-AD4D-439A-95C5-D5D31AA2A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95600"/>
          <a:ext cx="9352381" cy="44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D356F-20FF-45A6-9A60-3E85276F9179}">
  <sheetPr codeName="Sheet4"/>
  <dimension ref="A1:H25"/>
  <sheetViews>
    <sheetView tabSelected="1" workbookViewId="0">
      <selection activeCell="C17" sqref="C17"/>
    </sheetView>
  </sheetViews>
  <sheetFormatPr defaultRowHeight="14.25" x14ac:dyDescent="0.2"/>
  <cols>
    <col min="3" max="8" width="9.875" bestFit="1" customWidth="1"/>
  </cols>
  <sheetData>
    <row r="1" spans="1:8" x14ac:dyDescent="0.2">
      <c r="A1" t="s">
        <v>3</v>
      </c>
      <c r="C1">
        <v>6.0000000000000001E-3</v>
      </c>
      <c r="D1">
        <v>5.0000000000000001E-3</v>
      </c>
      <c r="E1">
        <v>1.4999999999999999E-2</v>
      </c>
      <c r="F1">
        <v>1.6E-2</v>
      </c>
      <c r="G1">
        <v>7.5999999999999998E-2</v>
      </c>
      <c r="H1">
        <v>1.0999999999999999E-2</v>
      </c>
    </row>
    <row r="2" spans="1:8" x14ac:dyDescent="0.2">
      <c r="A2" t="s">
        <v>1</v>
      </c>
      <c r="C2">
        <v>3.0000000000000001E-3</v>
      </c>
      <c r="D2">
        <v>3.1E-2</v>
      </c>
      <c r="E2">
        <v>0.01</v>
      </c>
      <c r="F2">
        <v>0.1</v>
      </c>
      <c r="G2">
        <v>5.7000000000000002E-2</v>
      </c>
      <c r="H2">
        <v>0.11700000000000001</v>
      </c>
    </row>
    <row r="3" spans="1:8" x14ac:dyDescent="0.2">
      <c r="A3" t="s">
        <v>2</v>
      </c>
      <c r="C3">
        <v>0</v>
      </c>
      <c r="D3">
        <v>0</v>
      </c>
      <c r="E3">
        <v>0</v>
      </c>
      <c r="F3">
        <v>9.5000000000000001E-2</v>
      </c>
      <c r="G3">
        <v>0</v>
      </c>
      <c r="H3">
        <v>0</v>
      </c>
    </row>
    <row r="4" spans="1:8" x14ac:dyDescent="0.2">
      <c r="A4" t="s">
        <v>4</v>
      </c>
      <c r="C4">
        <v>0</v>
      </c>
      <c r="D4">
        <v>0</v>
      </c>
      <c r="E4">
        <v>0</v>
      </c>
      <c r="F4">
        <v>0.01</v>
      </c>
      <c r="G4">
        <v>0</v>
      </c>
      <c r="H4">
        <v>0</v>
      </c>
    </row>
    <row r="5" spans="1:8" x14ac:dyDescent="0.2">
      <c r="A5" t="s">
        <v>0</v>
      </c>
      <c r="C5">
        <v>0.96499999999999997</v>
      </c>
      <c r="D5">
        <v>0.90700000000000003</v>
      </c>
      <c r="E5">
        <v>0.85899999999999999</v>
      </c>
      <c r="F5">
        <v>0.73499999999999999</v>
      </c>
      <c r="G5">
        <v>0.81200000000000006</v>
      </c>
      <c r="H5">
        <v>0.82599999999999996</v>
      </c>
    </row>
    <row r="6" spans="1:8" x14ac:dyDescent="0.2">
      <c r="A6" t="s">
        <v>5</v>
      </c>
      <c r="C6">
        <v>1.7999999999999999E-2</v>
      </c>
      <c r="D6">
        <v>4.4999999999999998E-2</v>
      </c>
      <c r="E6">
        <v>8.5000000000000006E-2</v>
      </c>
      <c r="F6">
        <v>3.3000000000000002E-2</v>
      </c>
      <c r="G6">
        <v>4.2999999999999997E-2</v>
      </c>
      <c r="H6">
        <v>3.5000000000000003E-2</v>
      </c>
    </row>
    <row r="7" spans="1:8" x14ac:dyDescent="0.2">
      <c r="A7" t="s">
        <v>6</v>
      </c>
      <c r="C7">
        <v>4.4999999999999997E-3</v>
      </c>
      <c r="D7">
        <v>8.3999999999999995E-3</v>
      </c>
      <c r="E7">
        <v>2.3E-2</v>
      </c>
      <c r="F7">
        <v>7.4000000000000003E-3</v>
      </c>
      <c r="G7">
        <v>8.9999999999999993E-3</v>
      </c>
      <c r="H7">
        <v>7.4999999999999997E-3</v>
      </c>
    </row>
    <row r="8" spans="1:8" x14ac:dyDescent="0.2">
      <c r="A8" t="s">
        <v>10</v>
      </c>
      <c r="C8">
        <v>1E-3</v>
      </c>
      <c r="D8">
        <v>1E-3</v>
      </c>
      <c r="E8">
        <v>3.5000000000000001E-3</v>
      </c>
      <c r="F8">
        <v>1.1999999999999999E-3</v>
      </c>
      <c r="G8">
        <v>1.5E-3</v>
      </c>
      <c r="H8">
        <v>1.1999999999999999E-3</v>
      </c>
    </row>
    <row r="9" spans="1:8" x14ac:dyDescent="0.2">
      <c r="A9" t="s">
        <v>12</v>
      </c>
      <c r="C9">
        <v>1E-3</v>
      </c>
      <c r="D9">
        <v>1.5E-3</v>
      </c>
      <c r="E9">
        <v>3.5000000000000001E-3</v>
      </c>
      <c r="F9">
        <v>1.1999999999999999E-3</v>
      </c>
      <c r="G9">
        <v>1.5E-3</v>
      </c>
      <c r="H9">
        <v>1.1999999999999999E-3</v>
      </c>
    </row>
    <row r="10" spans="1:8" x14ac:dyDescent="0.2">
      <c r="A10" t="s">
        <v>11</v>
      </c>
      <c r="C10">
        <v>5.0000000000000001E-4</v>
      </c>
      <c r="D10">
        <v>2.9999999999999997E-4</v>
      </c>
      <c r="E10">
        <v>5.0000000000000001E-4</v>
      </c>
      <c r="F10">
        <v>4.0000000000000002E-4</v>
      </c>
      <c r="G10">
        <v>0</v>
      </c>
      <c r="H10">
        <v>4.0000000000000002E-4</v>
      </c>
    </row>
    <row r="11" spans="1:8" x14ac:dyDescent="0.2">
      <c r="A11" t="s">
        <v>13</v>
      </c>
      <c r="C11">
        <v>2.9999999999999997E-4</v>
      </c>
      <c r="D11">
        <v>4.0000000000000002E-4</v>
      </c>
      <c r="E11">
        <v>5.0000000000000001E-4</v>
      </c>
      <c r="F11">
        <v>4.0000000000000002E-4</v>
      </c>
      <c r="G11">
        <v>0</v>
      </c>
      <c r="H11">
        <v>4.0000000000000002E-4</v>
      </c>
    </row>
    <row r="12" spans="1:8" x14ac:dyDescent="0.2">
      <c r="A12" t="s">
        <v>7</v>
      </c>
      <c r="C12">
        <v>6.9999999999999999E-4</v>
      </c>
      <c r="D12">
        <v>4.0000000000000002E-4</v>
      </c>
      <c r="E12">
        <v>0</v>
      </c>
      <c r="F12">
        <v>2.0000000000000001E-4</v>
      </c>
      <c r="G12">
        <v>0</v>
      </c>
      <c r="H12">
        <v>2.0000000000000001E-4</v>
      </c>
    </row>
    <row r="13" spans="1:8" x14ac:dyDescent="0.2">
      <c r="A13" t="s">
        <v>8</v>
      </c>
      <c r="C13">
        <v>0</v>
      </c>
      <c r="D13">
        <v>0</v>
      </c>
      <c r="E13">
        <v>0</v>
      </c>
      <c r="F13">
        <v>1E-4</v>
      </c>
      <c r="G13">
        <v>0</v>
      </c>
      <c r="H13">
        <v>1E-4</v>
      </c>
    </row>
    <row r="14" spans="1:8" x14ac:dyDescent="0.2">
      <c r="A14" t="s">
        <v>9</v>
      </c>
      <c r="C14">
        <v>0</v>
      </c>
      <c r="D14">
        <v>0</v>
      </c>
      <c r="E14">
        <v>0</v>
      </c>
      <c r="F14">
        <v>1E-4</v>
      </c>
      <c r="G14">
        <v>0</v>
      </c>
      <c r="H14">
        <v>0</v>
      </c>
    </row>
    <row r="15" spans="1:8" x14ac:dyDescent="0.2">
      <c r="A15" t="s">
        <v>14</v>
      </c>
      <c r="B15" t="s">
        <v>15</v>
      </c>
      <c r="C15" t="s">
        <v>16</v>
      </c>
      <c r="D15" t="s">
        <v>16</v>
      </c>
      <c r="E15" t="s">
        <v>16</v>
      </c>
      <c r="F15" t="s">
        <v>16</v>
      </c>
      <c r="G15" t="s">
        <v>16</v>
      </c>
      <c r="H15" t="s">
        <v>16</v>
      </c>
    </row>
    <row r="16" spans="1:8" x14ac:dyDescent="0.2">
      <c r="A16">
        <v>6</v>
      </c>
      <c r="B16">
        <v>-3.15</v>
      </c>
      <c r="C16" s="1">
        <f>Z_XiPT_AGA(C$1:C$14,$A$1:$A$14,$A16,$B16)</f>
        <v>0.84052745452013966</v>
      </c>
      <c r="D16" s="1">
        <f t="shared" ref="D16:H16" si="0">Z_XiPT_AGA(D$1:D$14,$A$1:$A$14,$A16,$B16)</f>
        <v>0.83347965651526479</v>
      </c>
      <c r="E16" s="1">
        <f t="shared" si="0"/>
        <v>0.7938016468226673</v>
      </c>
      <c r="F16" s="1">
        <f t="shared" si="0"/>
        <v>0.88550078965056045</v>
      </c>
      <c r="G16" s="1">
        <f t="shared" si="0"/>
        <v>0.82609010897761104</v>
      </c>
      <c r="H16" s="1">
        <f t="shared" si="0"/>
        <v>0.85380298639530128</v>
      </c>
    </row>
    <row r="17" spans="1:8" x14ac:dyDescent="0.2">
      <c r="A17">
        <v>6</v>
      </c>
      <c r="B17">
        <v>6.85</v>
      </c>
      <c r="C17" s="1">
        <f t="shared" ref="C17:C25" si="1">Z_XiPT_AGA(C$1:C$14,$A$1:$A$14,$A17,$B17)</f>
        <v>0.86199337858717173</v>
      </c>
      <c r="D17" s="1">
        <f t="shared" ref="D17:H25" si="2">Z_XiPT_AGA(D$1:D$14,$A$1:$A$14,$A17,$B17)</f>
        <v>0.85596320094048484</v>
      </c>
      <c r="E17" s="1">
        <f t="shared" si="2"/>
        <v>0.82206375721870795</v>
      </c>
      <c r="F17" s="1">
        <f t="shared" si="2"/>
        <v>0.90143893411008391</v>
      </c>
      <c r="G17" s="1">
        <f t="shared" si="2"/>
        <v>0.84969080523388552</v>
      </c>
      <c r="H17" s="1">
        <f t="shared" si="2"/>
        <v>0.87370389278256044</v>
      </c>
    </row>
    <row r="18" spans="1:8" x14ac:dyDescent="0.2">
      <c r="A18">
        <v>6</v>
      </c>
      <c r="B18">
        <v>16.850000000000001</v>
      </c>
      <c r="C18" s="1">
        <f t="shared" si="1"/>
        <v>0.88006233088291919</v>
      </c>
      <c r="D18" s="1">
        <f t="shared" si="2"/>
        <v>0.87484329525310101</v>
      </c>
      <c r="E18" s="1">
        <f t="shared" si="2"/>
        <v>0.84544431408060705</v>
      </c>
      <c r="F18" s="1">
        <f t="shared" si="2"/>
        <v>0.91501117728862347</v>
      </c>
      <c r="G18" s="1">
        <f t="shared" si="2"/>
        <v>0.86943939552451988</v>
      </c>
      <c r="H18" s="1">
        <f t="shared" si="2"/>
        <v>0.89051676670007773</v>
      </c>
    </row>
    <row r="19" spans="1:8" x14ac:dyDescent="0.2">
      <c r="A19">
        <v>6</v>
      </c>
      <c r="B19">
        <v>36.85</v>
      </c>
      <c r="C19" s="1">
        <f t="shared" si="1"/>
        <v>0.90867071882621087</v>
      </c>
      <c r="D19" s="1">
        <f t="shared" si="2"/>
        <v>0.90466223226670262</v>
      </c>
      <c r="E19" s="1">
        <f t="shared" si="2"/>
        <v>0.88183005656999136</v>
      </c>
      <c r="F19" s="1">
        <f t="shared" si="2"/>
        <v>0.93674285536067625</v>
      </c>
      <c r="G19" s="1">
        <f t="shared" si="2"/>
        <v>0.90051937885053646</v>
      </c>
      <c r="H19" s="1">
        <f t="shared" si="2"/>
        <v>0.91722768511961816</v>
      </c>
    </row>
    <row r="20" spans="1:8" x14ac:dyDescent="0.2">
      <c r="A20">
        <v>6</v>
      </c>
      <c r="B20">
        <v>56.85</v>
      </c>
      <c r="C20" s="1">
        <f t="shared" si="1"/>
        <v>0.93010897528149039</v>
      </c>
      <c r="D20" s="1">
        <f t="shared" si="2"/>
        <v>0.92695727693760399</v>
      </c>
      <c r="E20" s="1">
        <f t="shared" si="2"/>
        <v>0.90868351193962282</v>
      </c>
      <c r="F20" s="1">
        <f t="shared" si="2"/>
        <v>0.9531783066167111</v>
      </c>
      <c r="G20" s="1">
        <f t="shared" si="2"/>
        <v>0.92368323749584935</v>
      </c>
      <c r="H20" s="1">
        <f t="shared" si="2"/>
        <v>0.93729754747844751</v>
      </c>
    </row>
    <row r="21" spans="1:8" x14ac:dyDescent="0.2">
      <c r="A21">
        <v>12</v>
      </c>
      <c r="B21">
        <v>-3.15</v>
      </c>
      <c r="C21" s="1">
        <f t="shared" si="1"/>
        <v>0.72133120563803665</v>
      </c>
      <c r="D21" s="1">
        <f t="shared" si="2"/>
        <v>0.71043918366626946</v>
      </c>
      <c r="E21" s="1">
        <f t="shared" si="2"/>
        <v>0.64144549234640469</v>
      </c>
      <c r="F21" s="1">
        <f t="shared" si="2"/>
        <v>0.81023767905062838</v>
      </c>
      <c r="G21" s="1">
        <f t="shared" si="2"/>
        <v>0.69540017864082493</v>
      </c>
      <c r="H21" s="1">
        <f t="shared" si="2"/>
        <v>0.75074192738104728</v>
      </c>
    </row>
    <row r="22" spans="1:8" x14ac:dyDescent="0.2">
      <c r="A22">
        <v>12</v>
      </c>
      <c r="B22">
        <v>6.85</v>
      </c>
      <c r="C22" s="1">
        <f t="shared" si="1"/>
        <v>0.76025099871051505</v>
      </c>
      <c r="D22" s="1">
        <f t="shared" si="2"/>
        <v>0.75065826277632475</v>
      </c>
      <c r="E22" s="1">
        <f t="shared" si="2"/>
        <v>0.68970830655276261</v>
      </c>
      <c r="F22" s="1">
        <f t="shared" si="2"/>
        <v>0.8378151357085809</v>
      </c>
      <c r="G22" s="1">
        <f t="shared" si="2"/>
        <v>0.73780029963747784</v>
      </c>
      <c r="H22" s="1">
        <f t="shared" si="2"/>
        <v>0.78585962234774531</v>
      </c>
    </row>
    <row r="23" spans="1:8" x14ac:dyDescent="0.2">
      <c r="A23">
        <v>12</v>
      </c>
      <c r="B23">
        <v>16.850000000000001</v>
      </c>
      <c r="C23" s="1">
        <f t="shared" si="1"/>
        <v>0.793165704444732</v>
      </c>
      <c r="D23" s="1">
        <f t="shared" si="2"/>
        <v>0.78474952289137823</v>
      </c>
      <c r="E23" s="1">
        <f t="shared" si="2"/>
        <v>0.73123208139231788</v>
      </c>
      <c r="F23" s="1">
        <f t="shared" si="2"/>
        <v>0.8613730238874755</v>
      </c>
      <c r="G23" s="1">
        <f t="shared" si="2"/>
        <v>0.77368761522533303</v>
      </c>
      <c r="H23" s="1">
        <f t="shared" si="2"/>
        <v>0.81569327875760822</v>
      </c>
    </row>
    <row r="24" spans="1:8" x14ac:dyDescent="0.2">
      <c r="A24">
        <v>12</v>
      </c>
      <c r="B24">
        <v>36.85</v>
      </c>
      <c r="C24" s="1">
        <f t="shared" si="1"/>
        <v>0.84515178882069086</v>
      </c>
      <c r="D24" s="1">
        <f t="shared" si="2"/>
        <v>0.83863055492733141</v>
      </c>
      <c r="E24" s="1">
        <f t="shared" si="2"/>
        <v>0.79697474415810943</v>
      </c>
      <c r="F24" s="1">
        <f t="shared" si="2"/>
        <v>0.89913173399782853</v>
      </c>
      <c r="G24" s="1">
        <f t="shared" si="2"/>
        <v>0.83022403455533955</v>
      </c>
      <c r="H24" s="1">
        <f t="shared" si="2"/>
        <v>0.86311045480183723</v>
      </c>
    </row>
    <row r="25" spans="1:8" x14ac:dyDescent="0.2">
      <c r="A25">
        <v>12</v>
      </c>
      <c r="B25">
        <v>56.85</v>
      </c>
      <c r="C25" s="1">
        <f t="shared" si="1"/>
        <v>0.88383087049422171</v>
      </c>
      <c r="D25" s="1">
        <f t="shared" si="2"/>
        <v>0.8787026443968361</v>
      </c>
      <c r="E25" s="1">
        <f t="shared" si="2"/>
        <v>0.84553329898139318</v>
      </c>
      <c r="F25" s="1">
        <f t="shared" si="2"/>
        <v>0.92766328471581883</v>
      </c>
      <c r="G25" s="1">
        <f t="shared" si="2"/>
        <v>0.87210779252663551</v>
      </c>
      <c r="H25" s="1">
        <f t="shared" si="2"/>
        <v>0.89861741177643761</v>
      </c>
    </row>
  </sheetData>
  <phoneticPr fontId="1" type="noConversion"/>
  <dataValidations count="2">
    <dataValidation type="list" allowBlank="1" showInputMessage="1" showErrorMessage="1" sqref="A1:A14" xr:uid="{9DA9F187-2205-4ECF-ADC6-6F9C5AEB877B}">
      <formula1>"x(CH4),x(N2),x(CO2),x(C2H6),x(C3H8),x(H2O),x(H2S),x(H2),x(CO),x(O2),x(i-C4H10),x(n-C4H10),x(i-C5H12),x(n-C5H12),x(C6H14),x(C7H16),x(C8H18),x(C9H20),x(C10H22),x(He),x(Ar)"</formula1>
    </dataValidation>
    <dataValidation type="decimal" allowBlank="1" showInputMessage="1" showErrorMessage="1" sqref="C1:C14" xr:uid="{055E76BB-7668-498D-8B1E-E8F971D92F18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61B4-6A23-49CD-A2A5-8BF0D91A32EB}">
  <dimension ref="A1:H15"/>
  <sheetViews>
    <sheetView workbookViewId="0">
      <selection activeCell="C5" sqref="C5:H5"/>
    </sheetView>
  </sheetViews>
  <sheetFormatPr defaultRowHeight="14.25" x14ac:dyDescent="0.2"/>
  <cols>
    <col min="1" max="1" width="14.875" customWidth="1"/>
    <col min="2" max="2" width="13.25" customWidth="1"/>
    <col min="3" max="3" width="15" customWidth="1"/>
    <col min="4" max="4" width="14.25" customWidth="1"/>
    <col min="5" max="5" width="14.375" customWidth="1"/>
    <col min="6" max="6" width="15.375" customWidth="1"/>
    <col min="7" max="7" width="13.75" customWidth="1"/>
    <col min="8" max="8" width="15" customWidth="1"/>
  </cols>
  <sheetData>
    <row r="1" spans="1:8" x14ac:dyDescent="0.2">
      <c r="A1" t="s">
        <v>19</v>
      </c>
      <c r="C1">
        <v>6.0000000000000001E-3</v>
      </c>
      <c r="D1">
        <v>5.0000000000000001E-3</v>
      </c>
      <c r="E1">
        <v>1.4999999999999999E-2</v>
      </c>
      <c r="F1">
        <v>1.6E-2</v>
      </c>
      <c r="G1">
        <v>7.5999999999999998E-2</v>
      </c>
      <c r="H1">
        <v>1.0999999999999999E-2</v>
      </c>
    </row>
    <row r="2" spans="1:8" x14ac:dyDescent="0.2">
      <c r="A2" t="s">
        <v>20</v>
      </c>
      <c r="C2" s="3">
        <v>0</v>
      </c>
      <c r="D2" s="3">
        <v>0</v>
      </c>
      <c r="E2" s="3">
        <v>0</v>
      </c>
      <c r="F2" s="3">
        <v>9.5000000000000001E-2</v>
      </c>
      <c r="G2" s="3">
        <v>0</v>
      </c>
      <c r="H2" s="3">
        <v>0</v>
      </c>
    </row>
    <row r="3" spans="1:8" x14ac:dyDescent="0.2">
      <c r="A3" t="s">
        <v>21</v>
      </c>
      <c r="C3" s="2">
        <v>0.58099999999999996</v>
      </c>
      <c r="D3" s="2">
        <v>0.60899999999999999</v>
      </c>
      <c r="E3" s="2">
        <v>0.65</v>
      </c>
      <c r="F3" s="2">
        <v>0.59899999999999998</v>
      </c>
      <c r="G3" s="2">
        <v>0.68600000000000005</v>
      </c>
      <c r="H3" s="2">
        <v>0.64400000000000002</v>
      </c>
    </row>
    <row r="4" spans="1:8" x14ac:dyDescent="0.2">
      <c r="A4" t="s">
        <v>18</v>
      </c>
      <c r="C4">
        <v>40.659999999999997</v>
      </c>
      <c r="D4">
        <v>40.619999999999997</v>
      </c>
      <c r="E4">
        <v>43.53</v>
      </c>
      <c r="F4">
        <v>34.159999999999997</v>
      </c>
      <c r="G4">
        <v>36.64</v>
      </c>
      <c r="H4">
        <v>36.58</v>
      </c>
    </row>
    <row r="5" spans="1:8" x14ac:dyDescent="0.2">
      <c r="A5" t="s">
        <v>17</v>
      </c>
      <c r="B5" t="s">
        <v>15</v>
      </c>
      <c r="C5" t="s">
        <v>16</v>
      </c>
      <c r="D5" t="s">
        <v>16</v>
      </c>
      <c r="E5" t="s">
        <v>16</v>
      </c>
      <c r="F5" t="s">
        <v>16</v>
      </c>
      <c r="G5" t="s">
        <v>16</v>
      </c>
      <c r="H5" t="s">
        <v>16</v>
      </c>
    </row>
    <row r="6" spans="1:8" x14ac:dyDescent="0.2">
      <c r="A6">
        <v>6</v>
      </c>
      <c r="B6">
        <v>-3.15</v>
      </c>
      <c r="C6" s="1">
        <f>Z_SGERG($A6,$B6,C$4,C$3,C$1,C$2)</f>
        <v>0.84084335071686378</v>
      </c>
      <c r="D6" s="1">
        <f t="shared" ref="D6:H6" si="0">Z_SGERG($A6,$B6,D$4,D$3,D$1,D$2)</f>
        <v>0.83397285669787857</v>
      </c>
      <c r="E6" s="1">
        <f t="shared" si="0"/>
        <v>0.79414860056372827</v>
      </c>
      <c r="F6" s="1">
        <f t="shared" si="0"/>
        <v>0.8856909577247738</v>
      </c>
      <c r="G6" s="1">
        <f t="shared" si="0"/>
        <v>0.82663786557266505</v>
      </c>
      <c r="H6" s="1">
        <f t="shared" si="0"/>
        <v>0.85406455044679219</v>
      </c>
    </row>
    <row r="7" spans="1:8" x14ac:dyDescent="0.2">
      <c r="A7">
        <v>6</v>
      </c>
      <c r="B7">
        <v>6.85</v>
      </c>
      <c r="C7" s="1">
        <f t="shared" ref="C7:H15" si="1">Z_SGERG($A7,$B7,C$4,C$3,C$1,C$2)</f>
        <v>0.86201898061827631</v>
      </c>
      <c r="D7" s="1">
        <f t="shared" si="1"/>
        <v>0.85615082309289969</v>
      </c>
      <c r="E7" s="1">
        <f t="shared" si="1"/>
        <v>0.82209610164329538</v>
      </c>
      <c r="F7" s="1">
        <f t="shared" si="1"/>
        <v>0.90149597866273534</v>
      </c>
      <c r="G7" s="1">
        <f t="shared" si="1"/>
        <v>0.85017378193729531</v>
      </c>
      <c r="H7" s="1">
        <f t="shared" si="1"/>
        <v>0.87387730595715329</v>
      </c>
    </row>
    <row r="8" spans="1:8" x14ac:dyDescent="0.2">
      <c r="A8">
        <v>6</v>
      </c>
      <c r="B8">
        <v>16.850000000000001</v>
      </c>
      <c r="C8" s="1">
        <f t="shared" si="1"/>
        <v>0.88007334406736504</v>
      </c>
      <c r="D8" s="1">
        <f t="shared" si="1"/>
        <v>0.87500025657896863</v>
      </c>
      <c r="E8" s="1">
        <f t="shared" si="1"/>
        <v>0.84552648621992921</v>
      </c>
      <c r="F8" s="1">
        <f t="shared" si="1"/>
        <v>0.91506999293236524</v>
      </c>
      <c r="G8" s="1">
        <f t="shared" si="1"/>
        <v>0.87002576345300309</v>
      </c>
      <c r="H8" s="1">
        <f t="shared" si="1"/>
        <v>0.89070652600003852</v>
      </c>
    </row>
    <row r="9" spans="1:8" x14ac:dyDescent="0.2">
      <c r="A9">
        <v>6</v>
      </c>
      <c r="B9">
        <v>36.85</v>
      </c>
      <c r="C9" s="1">
        <f t="shared" si="1"/>
        <v>0.90880565512775446</v>
      </c>
      <c r="D9" s="1">
        <f t="shared" si="1"/>
        <v>0.9049122045087884</v>
      </c>
      <c r="E9" s="1">
        <f t="shared" si="1"/>
        <v>0.88222701021659455</v>
      </c>
      <c r="F9" s="1">
        <f t="shared" si="1"/>
        <v>0.93684360375436548</v>
      </c>
      <c r="G9" s="1">
        <f t="shared" si="1"/>
        <v>0.9012410689185445</v>
      </c>
      <c r="H9" s="1">
        <f t="shared" si="1"/>
        <v>0.91736492454830298</v>
      </c>
    </row>
    <row r="10" spans="1:8" x14ac:dyDescent="0.2">
      <c r="A10">
        <v>6</v>
      </c>
      <c r="B10">
        <v>56.85</v>
      </c>
      <c r="C10" s="1">
        <f t="shared" si="1"/>
        <v>0.92995950337244471</v>
      </c>
      <c r="D10" s="1">
        <f t="shared" si="1"/>
        <v>0.92690252885677593</v>
      </c>
      <c r="E10" s="1">
        <f t="shared" si="1"/>
        <v>0.90892546869447843</v>
      </c>
      <c r="F10" s="1">
        <f t="shared" si="1"/>
        <v>0.95301591861110335</v>
      </c>
      <c r="G10" s="1">
        <f t="shared" si="1"/>
        <v>0.92393647349715335</v>
      </c>
      <c r="H10" s="1">
        <f t="shared" si="1"/>
        <v>0.93690135584210088</v>
      </c>
    </row>
    <row r="11" spans="1:8" x14ac:dyDescent="0.2">
      <c r="A11">
        <v>12</v>
      </c>
      <c r="B11">
        <v>-3.15</v>
      </c>
      <c r="C11" s="1">
        <f t="shared" si="1"/>
        <v>0.72146527932063842</v>
      </c>
      <c r="D11" s="1">
        <f t="shared" si="1"/>
        <v>0.71139705235733941</v>
      </c>
      <c r="E11" s="1">
        <f t="shared" si="1"/>
        <v>0.64321993957084334</v>
      </c>
      <c r="F11" s="1">
        <f t="shared" si="1"/>
        <v>0.80842852663482745</v>
      </c>
      <c r="G11" s="1">
        <f t="shared" si="1"/>
        <v>0.69557003887289059</v>
      </c>
      <c r="H11" s="1">
        <f t="shared" si="1"/>
        <v>0.74939144000412483</v>
      </c>
    </row>
    <row r="12" spans="1:8" x14ac:dyDescent="0.2">
      <c r="A12">
        <v>12</v>
      </c>
      <c r="B12">
        <v>6.85</v>
      </c>
      <c r="C12" s="1">
        <f t="shared" si="1"/>
        <v>0.75969181121759333</v>
      </c>
      <c r="D12" s="1">
        <f t="shared" si="1"/>
        <v>0.75079320600113064</v>
      </c>
      <c r="E12" s="1">
        <f t="shared" si="1"/>
        <v>0.69061914766499666</v>
      </c>
      <c r="F12" s="1">
        <f t="shared" si="1"/>
        <v>0.83613486201897291</v>
      </c>
      <c r="G12" s="1">
        <f t="shared" si="1"/>
        <v>0.73828186613235403</v>
      </c>
      <c r="H12" s="1">
        <f t="shared" si="1"/>
        <v>0.78473133830379616</v>
      </c>
    </row>
    <row r="13" spans="1:8" x14ac:dyDescent="0.2">
      <c r="A13">
        <v>12</v>
      </c>
      <c r="B13">
        <v>16.850000000000001</v>
      </c>
      <c r="C13" s="1">
        <f t="shared" si="1"/>
        <v>0.79257044208116323</v>
      </c>
      <c r="D13" s="1">
        <f t="shared" si="1"/>
        <v>0.78472260412589601</v>
      </c>
      <c r="E13" s="1">
        <f t="shared" si="1"/>
        <v>0.73195805250119439</v>
      </c>
      <c r="F13" s="1">
        <f t="shared" si="1"/>
        <v>0.85999432306252233</v>
      </c>
      <c r="G13" s="1">
        <f t="shared" si="1"/>
        <v>0.77462607204085554</v>
      </c>
      <c r="H13" s="1">
        <f t="shared" si="1"/>
        <v>0.81489803269255678</v>
      </c>
    </row>
    <row r="14" spans="1:8" x14ac:dyDescent="0.2">
      <c r="A14">
        <v>12</v>
      </c>
      <c r="B14">
        <v>36.85</v>
      </c>
      <c r="C14" s="1">
        <f t="shared" si="1"/>
        <v>0.8449224717038154</v>
      </c>
      <c r="D14" s="1">
        <f t="shared" si="1"/>
        <v>0.83876663721313616</v>
      </c>
      <c r="E14" s="1">
        <f t="shared" si="1"/>
        <v>0.7977760460630966</v>
      </c>
      <c r="F14" s="1">
        <f t="shared" si="1"/>
        <v>0.89826918585466953</v>
      </c>
      <c r="G14" s="1">
        <f t="shared" si="1"/>
        <v>0.83165673184765643</v>
      </c>
      <c r="H14" s="1">
        <f t="shared" si="1"/>
        <v>0.8626620602757501</v>
      </c>
    </row>
    <row r="15" spans="1:8" x14ac:dyDescent="0.2">
      <c r="A15">
        <v>12</v>
      </c>
      <c r="B15">
        <v>56.85</v>
      </c>
      <c r="C15" s="1">
        <f t="shared" si="1"/>
        <v>0.88321979005410833</v>
      </c>
      <c r="D15" s="1">
        <f t="shared" si="1"/>
        <v>0.87832520126984082</v>
      </c>
      <c r="E15" s="1">
        <f t="shared" si="1"/>
        <v>0.84554110905550584</v>
      </c>
      <c r="F15" s="1">
        <f t="shared" si="1"/>
        <v>0.92661871902629311</v>
      </c>
      <c r="G15" s="1">
        <f t="shared" si="1"/>
        <v>0.87269014522177679</v>
      </c>
      <c r="H15" s="1">
        <f t="shared" si="1"/>
        <v>0.8974889022156245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AGA8-92DC-test</vt:lpstr>
      <vt:lpstr>SGERG-88-test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2015-06-05T18:19:34Z</dcterms:created>
  <dcterms:modified xsi:type="dcterms:W3CDTF">2018-12-26T01:45:36Z</dcterms:modified>
</cp:coreProperties>
</file>