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\NGZ\天然气压缩因子计算\"/>
    </mc:Choice>
  </mc:AlternateContent>
  <xr:revisionPtr revIDLastSave="0" documentId="13_ncr:1_{4DD8F5C0-F9F3-47B0-B0AC-4D51D9FDA367}" xr6:coauthVersionLast="40" xr6:coauthVersionMax="40" xr10:uidLastSave="{00000000-0000-0000-0000-000000000000}"/>
  <bookViews>
    <workbookView xWindow="0" yWindow="0" windowWidth="22260" windowHeight="12645" activeTab="1" xr2:uid="{00000000-000D-0000-FFFF-FFFF00000000}"/>
  </bookViews>
  <sheets>
    <sheet name="AGA8-92DC参数" sheetId="3" r:id="rId1"/>
    <sheet name="AGA8-92DC-test" sheetId="20" r:id="rId2"/>
    <sheet name="SGERG-88" sheetId="19" r:id="rId3"/>
  </sheets>
  <functionGroups builtInGroupCount="19"/>
  <definedNames>
    <definedName name="新建文本文档__2" localSheetId="0">'AGA8-92DC参数'!#REF!</definedName>
    <definedName name="新建文本文档__2__2" localSheetId="0">'AGA8-92DC参数'!$C$67:$K$67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5" i="3" l="1"/>
  <c r="L66" i="3"/>
  <c r="L67" i="3"/>
  <c r="L68" i="3"/>
  <c r="L69" i="3"/>
  <c r="L70" i="3"/>
  <c r="L71" i="3"/>
  <c r="L72" i="3"/>
  <c r="L73" i="3"/>
  <c r="L74" i="3"/>
  <c r="L75" i="3"/>
  <c r="L76" i="3"/>
  <c r="L77" i="3"/>
  <c r="L64" i="3"/>
  <c r="F22" i="20"/>
  <c r="H21" i="20"/>
  <c r="D22" i="20"/>
  <c r="C25" i="20"/>
  <c r="E16" i="20"/>
  <c r="F16" i="20"/>
  <c r="G24" i="20"/>
  <c r="H20" i="20"/>
  <c r="E20" i="20"/>
  <c r="F20" i="20"/>
  <c r="C17" i="20"/>
  <c r="H24" i="20"/>
  <c r="E24" i="20"/>
  <c r="F24" i="20"/>
  <c r="C16" i="20"/>
  <c r="H16" i="20"/>
  <c r="E19" i="20"/>
  <c r="H18" i="20"/>
  <c r="H25" i="20"/>
  <c r="D17" i="20"/>
  <c r="C19" i="20"/>
  <c r="E21" i="20"/>
  <c r="G25" i="20"/>
  <c r="D25" i="20"/>
  <c r="E25" i="20"/>
  <c r="D20" i="20"/>
  <c r="F19" i="20"/>
  <c r="G19" i="20"/>
  <c r="C24" i="20"/>
  <c r="D24" i="20"/>
  <c r="F23" i="20"/>
  <c r="G23" i="20"/>
  <c r="C22" i="20"/>
  <c r="F21" i="20"/>
  <c r="D23" i="20"/>
  <c r="G20" i="20"/>
  <c r="C20" i="20"/>
  <c r="G17" i="20"/>
  <c r="G21" i="20"/>
  <c r="C21" i="20"/>
  <c r="D16" i="20"/>
  <c r="H23" i="20"/>
  <c r="F25" i="20"/>
  <c r="E22" i="20"/>
  <c r="E23" i="20"/>
  <c r="G22" i="20"/>
  <c r="H22" i="20"/>
  <c r="C18" i="20"/>
  <c r="H19" i="20"/>
  <c r="D19" i="20"/>
  <c r="E18" i="20"/>
  <c r="F18" i="20"/>
  <c r="H17" i="20"/>
  <c r="D18" i="20"/>
  <c r="C23" i="20"/>
  <c r="G18" i="20"/>
  <c r="F17" i="20"/>
  <c r="G16" i="20"/>
  <c r="E17" i="20"/>
  <c r="D21" i="20"/>
  <c r="O6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80E808-1059-4A3C-BA3B-05BC18BC33B8}" name="新建文本文档 (2)21" type="6" refreshedVersion="6" background="1" saveData="1">
    <textPr codePage="936" sourceFile="C:\Users\Administrator\Desktop\新建文本文档 (2).txt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<sst xmlns="http://schemas.openxmlformats.org/spreadsheetml/2006/main" count="501" uniqueCount="198">
  <si>
    <t>组分</t>
    <phoneticPr fontId="1" type="noConversion"/>
  </si>
  <si>
    <t>CO2</t>
  </si>
  <si>
    <t>CO2</t>
    <phoneticPr fontId="1" type="noConversion"/>
  </si>
  <si>
    <t>N2</t>
  </si>
  <si>
    <t>H2</t>
  </si>
  <si>
    <t>H2</t>
    <phoneticPr fontId="1" type="noConversion"/>
  </si>
  <si>
    <t>CO</t>
  </si>
  <si>
    <t>CH4</t>
  </si>
  <si>
    <t>C2H6</t>
  </si>
  <si>
    <t>C2H6</t>
    <phoneticPr fontId="1" type="noConversion"/>
  </si>
  <si>
    <t>C3H8</t>
  </si>
  <si>
    <t>C3H8</t>
    <phoneticPr fontId="1" type="noConversion"/>
  </si>
  <si>
    <t>i-C4H10</t>
  </si>
  <si>
    <t>n-C4H10</t>
  </si>
  <si>
    <t>n-C5H12</t>
  </si>
  <si>
    <t>n-C5H12</t>
    <phoneticPr fontId="1" type="noConversion"/>
  </si>
  <si>
    <t>i-C5H12</t>
  </si>
  <si>
    <t>C6H14</t>
  </si>
  <si>
    <t>C7H16</t>
  </si>
  <si>
    <t>C8H18</t>
  </si>
  <si>
    <t>n-C6H14</t>
  </si>
  <si>
    <t>n-C7H16</t>
  </si>
  <si>
    <t>n-C8H18</t>
  </si>
  <si>
    <t>n-C9H20</t>
  </si>
  <si>
    <t>n-C10H22</t>
  </si>
  <si>
    <t>He</t>
  </si>
  <si>
    <t>Ar</t>
  </si>
  <si>
    <t>O2</t>
  </si>
  <si>
    <t>H2S</t>
  </si>
  <si>
    <t>H2S</t>
    <phoneticPr fontId="1" type="noConversion"/>
  </si>
  <si>
    <t>H2O</t>
  </si>
  <si>
    <t>x(CH4)</t>
  </si>
  <si>
    <t>x(N2)</t>
  </si>
  <si>
    <t>x(H2)</t>
  </si>
  <si>
    <t>x(O2)</t>
  </si>
  <si>
    <t>x(CO2)</t>
  </si>
  <si>
    <t>x(CO)</t>
  </si>
  <si>
    <t>x(H2S)</t>
  </si>
  <si>
    <t>x(H2O)</t>
  </si>
  <si>
    <t>x(C2H6)</t>
  </si>
  <si>
    <t>x(C3H8)</t>
  </si>
  <si>
    <t>x(C6H14)</t>
  </si>
  <si>
    <t>x(C7H16)</t>
  </si>
  <si>
    <t>x(C8H18)</t>
  </si>
  <si>
    <t>x(i-C4H10)</t>
  </si>
  <si>
    <t>x(i-C5H12)</t>
  </si>
  <si>
    <t>x(n-C4H10)</t>
  </si>
  <si>
    <t>x(n-C5H12)</t>
  </si>
  <si>
    <t>x(He)</t>
  </si>
  <si>
    <t>x(Ar)</t>
  </si>
  <si>
    <t>an</t>
    <phoneticPr fontId="1" type="noConversion"/>
  </si>
  <si>
    <t>n</t>
    <phoneticPr fontId="1" type="noConversion"/>
  </si>
  <si>
    <t>bn</t>
    <phoneticPr fontId="1" type="noConversion"/>
  </si>
  <si>
    <t>cn</t>
    <phoneticPr fontId="1" type="noConversion"/>
  </si>
  <si>
    <t>kn</t>
    <phoneticPr fontId="1" type="noConversion"/>
  </si>
  <si>
    <t>un</t>
    <phoneticPr fontId="1" type="noConversion"/>
  </si>
  <si>
    <t>gn</t>
    <phoneticPr fontId="1" type="noConversion"/>
  </si>
  <si>
    <t>qn</t>
    <phoneticPr fontId="1" type="noConversion"/>
  </si>
  <si>
    <t>fn</t>
    <phoneticPr fontId="1" type="noConversion"/>
  </si>
  <si>
    <t>sn</t>
    <phoneticPr fontId="1" type="noConversion"/>
  </si>
  <si>
    <t>wn</t>
    <phoneticPr fontId="1" type="noConversion"/>
  </si>
  <si>
    <t>B.1状态方程参数</t>
    <phoneticPr fontId="1" type="noConversion"/>
  </si>
  <si>
    <t>B.2特征参数</t>
    <phoneticPr fontId="1" type="noConversion"/>
  </si>
  <si>
    <t>识别号</t>
    <phoneticPr fontId="1" type="noConversion"/>
  </si>
  <si>
    <t>化合物</t>
    <phoneticPr fontId="1" type="noConversion"/>
  </si>
  <si>
    <t>体积参数Ki
(m3/kmol)^(1/3)</t>
    <phoneticPr fontId="1" type="noConversion"/>
  </si>
  <si>
    <t>定位参数Gi</t>
    <phoneticPr fontId="1" type="noConversion"/>
  </si>
  <si>
    <t>四极参数Qi</t>
    <phoneticPr fontId="1" type="noConversion"/>
  </si>
  <si>
    <t>高位参数Fi</t>
    <phoneticPr fontId="1" type="noConversion"/>
  </si>
  <si>
    <t>偶极参数Si</t>
    <phoneticPr fontId="1" type="noConversion"/>
  </si>
  <si>
    <t>组合参数Wi</t>
    <phoneticPr fontId="1" type="noConversion"/>
  </si>
  <si>
    <t>摩尔质量Mi
   kg/kmol</t>
    <phoneticPr fontId="1" type="noConversion"/>
  </si>
  <si>
    <t>能量参数Ei
       K</t>
    <phoneticPr fontId="1" type="noConversion"/>
  </si>
  <si>
    <t>B.3二元交互作用参数</t>
    <phoneticPr fontId="1" type="noConversion"/>
  </si>
  <si>
    <t>识别号i</t>
    <phoneticPr fontId="1" type="noConversion"/>
  </si>
  <si>
    <t>识别号j</t>
    <phoneticPr fontId="1" type="noConversion"/>
  </si>
  <si>
    <t>化合物i</t>
    <phoneticPr fontId="1" type="noConversion"/>
  </si>
  <si>
    <t>化合物j</t>
    <phoneticPr fontId="1" type="noConversion"/>
  </si>
  <si>
    <t>E*ij</t>
    <phoneticPr fontId="1" type="noConversion"/>
  </si>
  <si>
    <t>Uij</t>
    <phoneticPr fontId="1" type="noConversion"/>
  </si>
  <si>
    <t>Kij</t>
    <phoneticPr fontId="1" type="noConversion"/>
  </si>
  <si>
    <t>G*ij</t>
    <phoneticPr fontId="1" type="noConversion"/>
  </si>
  <si>
    <t>组分标识</t>
    <phoneticPr fontId="1" type="noConversion"/>
  </si>
  <si>
    <t>x(H2)</t>
    <phoneticPr fontId="1" type="noConversion"/>
  </si>
  <si>
    <t>x(C6H14)</t>
    <phoneticPr fontId="1" type="noConversion"/>
  </si>
  <si>
    <t>x(C7H16)</t>
    <phoneticPr fontId="1" type="noConversion"/>
  </si>
  <si>
    <t>x(C8H18)</t>
    <phoneticPr fontId="1" type="noConversion"/>
  </si>
  <si>
    <t>x(C9H20)</t>
    <phoneticPr fontId="1" type="noConversion"/>
  </si>
  <si>
    <t>x(C10H22)</t>
    <phoneticPr fontId="1" type="noConversion"/>
  </si>
  <si>
    <t>C9H20</t>
  </si>
  <si>
    <t>C10H22</t>
  </si>
  <si>
    <t>Hco</t>
  </si>
  <si>
    <t>R</t>
  </si>
  <si>
    <r>
      <t>Mco</t>
    </r>
    <r>
      <rPr>
        <b/>
        <vertAlign val="subscript"/>
        <sz val="16"/>
        <color rgb="FF000000"/>
        <rFont val="Times New Roman"/>
        <family val="1"/>
      </rPr>
      <t>2</t>
    </r>
  </si>
  <si>
    <r>
      <t>Mh</t>
    </r>
    <r>
      <rPr>
        <b/>
        <vertAlign val="subscript"/>
        <sz val="16"/>
        <color rgb="FF000000"/>
        <rFont val="Times New Roman"/>
        <family val="1"/>
      </rPr>
      <t>2</t>
    </r>
  </si>
  <si>
    <r>
      <t>M</t>
    </r>
    <r>
      <rPr>
        <vertAlign val="subscript"/>
        <sz val="16"/>
        <color rgb="FF000000"/>
        <rFont val="Times New Roman"/>
        <family val="1"/>
      </rPr>
      <t>C</t>
    </r>
    <r>
      <rPr>
        <sz val="16"/>
        <color rgb="FF000000"/>
        <rFont val="Times New Roman"/>
        <family val="1"/>
      </rPr>
      <t>o</t>
    </r>
  </si>
  <si>
    <r>
      <t>Hh</t>
    </r>
    <r>
      <rPr>
        <b/>
        <vertAlign val="subscript"/>
        <sz val="16"/>
        <color rgb="FF000000"/>
        <rFont val="Times New Roman"/>
        <family val="1"/>
      </rPr>
      <t>2</t>
    </r>
    <phoneticPr fontId="1" type="noConversion"/>
  </si>
  <si>
    <r>
      <rPr>
        <b/>
        <vertAlign val="subscript"/>
        <sz val="16"/>
        <color rgb="FF000000"/>
        <rFont val="等线"/>
        <family val="2"/>
      </rPr>
      <t>M</t>
    </r>
    <r>
      <rPr>
        <b/>
        <vertAlign val="subscript"/>
        <sz val="16"/>
        <color rgb="FF000000"/>
        <rFont val="Times New Roman"/>
        <family val="1"/>
      </rPr>
      <t>N2</t>
    </r>
    <phoneticPr fontId="1" type="noConversion"/>
  </si>
  <si>
    <t>rho空气</t>
    <phoneticPr fontId="1" type="noConversion"/>
  </si>
  <si>
    <r>
      <t>v</t>
    </r>
    <r>
      <rPr>
        <b/>
        <sz val="16"/>
        <color rgb="FF000000"/>
        <rFont val="Times New Roman"/>
        <family val="1"/>
      </rPr>
      <t>(</t>
    </r>
    <r>
      <rPr>
        <b/>
        <sz val="16"/>
        <color rgb="FF000000"/>
        <rFont val="等线"/>
        <family val="2"/>
      </rPr>
      <t>理想）</t>
    </r>
    <phoneticPr fontId="1" type="noConversion"/>
  </si>
  <si>
    <t>ij</t>
  </si>
  <si>
    <t>CH</t>
  </si>
  <si>
    <t>HO</t>
  </si>
  <si>
    <t>CH+CO</t>
  </si>
  <si>
    <t>-5.16570D-6</t>
  </si>
  <si>
    <t>Y=-0.865</t>
  </si>
  <si>
    <t>-4.25468D-1</t>
  </si>
  <si>
    <t>2.86500D-3</t>
  </si>
  <si>
    <t>-4.62073D-6</t>
  </si>
  <si>
    <t>8.77118D-4</t>
  </si>
  <si>
    <t>-5.56281D-6</t>
  </si>
  <si>
    <t>8.81510D-9</t>
  </si>
  <si>
    <t>-8.24747D-7</t>
  </si>
  <si>
    <t>4.31436D-9</t>
  </si>
  <si>
    <t>-6.08319D-12</t>
  </si>
  <si>
    <t>-1.44600D-1</t>
  </si>
  <si>
    <t>7.40910D-4</t>
  </si>
  <si>
    <t>-9.11950D-7</t>
  </si>
  <si>
    <t>-8.68340D-1</t>
  </si>
  <si>
    <t>4.03760D-3</t>
  </si>
  <si>
    <t>-1.10596D-3</t>
  </si>
  <si>
    <t>8.13385D-5</t>
  </si>
  <si>
    <t>-9.87220D-8</t>
  </si>
  <si>
    <t>-1.30820D-1</t>
  </si>
  <si>
    <t>6.02540D-4</t>
  </si>
  <si>
    <t>-6.44300D-7</t>
  </si>
  <si>
    <t>-5.21280D-2</t>
  </si>
  <si>
    <t>2.71570D-4</t>
  </si>
  <si>
    <t>-2.50000D-7</t>
  </si>
  <si>
    <t>-6.87290D-2</t>
  </si>
  <si>
    <t>-2.39381D-6</t>
  </si>
  <si>
    <t>5.18195D-7</t>
  </si>
  <si>
    <t>-3.39693D-1</t>
  </si>
  <si>
    <t>1.61176D-3</t>
  </si>
  <si>
    <t>-2.04429D-6</t>
  </si>
  <si>
    <t>1.20000D-2</t>
  </si>
  <si>
    <t>b(0)</t>
    <phoneticPr fontId="1" type="noConversion"/>
  </si>
  <si>
    <t>b(1)</t>
    <phoneticPr fontId="1" type="noConversion"/>
  </si>
  <si>
    <t>b(2)</t>
    <phoneticPr fontId="1" type="noConversion"/>
  </si>
  <si>
    <t>p</t>
    <phoneticPr fontId="1" type="noConversion"/>
  </si>
  <si>
    <t>t</t>
    <phoneticPr fontId="1" type="noConversion"/>
  </si>
  <si>
    <t>Z</t>
    <phoneticPr fontId="1" type="noConversion"/>
  </si>
  <si>
    <t>H1</t>
  </si>
  <si>
    <t>H1</t>
    <phoneticPr fontId="1" type="noConversion"/>
  </si>
  <si>
    <t>N2</t>
    <phoneticPr fontId="1" type="noConversion"/>
  </si>
  <si>
    <t>H2</t>
    <phoneticPr fontId="1" type="noConversion"/>
  </si>
  <si>
    <t>H0</t>
  </si>
  <si>
    <t>CH+CH+N2</t>
  </si>
  <si>
    <t>CH+CH+CO</t>
  </si>
  <si>
    <t>CO2</t>
    <phoneticPr fontId="1" type="noConversion"/>
  </si>
  <si>
    <t>CH+CH+CO2</t>
    <phoneticPr fontId="1" type="noConversion"/>
  </si>
  <si>
    <t>CH+CH+H2</t>
    <phoneticPr fontId="1" type="noConversion"/>
  </si>
  <si>
    <t>CH+N2+N2</t>
    <phoneticPr fontId="1" type="noConversion"/>
  </si>
  <si>
    <t>CH+N2+CO2</t>
    <phoneticPr fontId="1" type="noConversion"/>
  </si>
  <si>
    <t>CH+CO2+CO2</t>
    <phoneticPr fontId="1" type="noConversion"/>
  </si>
  <si>
    <t>N2+N2+CO2</t>
    <phoneticPr fontId="1" type="noConversion"/>
  </si>
  <si>
    <t>N2+CO2+CO2</t>
    <phoneticPr fontId="1" type="noConversion"/>
  </si>
  <si>
    <t>7.84980D-3</t>
  </si>
  <si>
    <t>-3.02488D-1</t>
  </si>
  <si>
    <t>1.95861D-3</t>
  </si>
  <si>
    <t>-3.16302D-6</t>
  </si>
  <si>
    <t>6.46422D-4</t>
  </si>
  <si>
    <t>-4.22876D-6</t>
  </si>
  <si>
    <t>6.88157D-9</t>
  </si>
  <si>
    <t>-3.32805D-7</t>
  </si>
  <si>
    <t>2.23160D-9</t>
  </si>
  <si>
    <t>-3.67713D-12</t>
  </si>
  <si>
    <t>-3.98950D-5</t>
  </si>
  <si>
    <t>6.11870D-8</t>
  </si>
  <si>
    <t>2.05130D-3</t>
  </si>
  <si>
    <t>3.48880D-5</t>
  </si>
  <si>
    <t>-8.37030D-8</t>
  </si>
  <si>
    <t>1.04711D-3</t>
  </si>
  <si>
    <t>-3.64887D-6</t>
  </si>
  <si>
    <t>4.67095D-9</t>
  </si>
  <si>
    <t>7.36748D-3</t>
  </si>
  <si>
    <t>-2.76578D-5</t>
  </si>
  <si>
    <t>3.43051D-8</t>
  </si>
  <si>
    <t>y=1.10</t>
  </si>
  <si>
    <t>y=0.92</t>
  </si>
  <si>
    <t>5.52066D-3</t>
  </si>
  <si>
    <t>-1.68609D-5</t>
  </si>
  <si>
    <t>1.57169D-8</t>
  </si>
  <si>
    <t>3.58783D-3</t>
  </si>
  <si>
    <t>8.06674D-6</t>
  </si>
  <si>
    <t>-3.25798D-8</t>
  </si>
  <si>
    <t>y=0.92+0.0013(T-270)</t>
  </si>
  <si>
    <t>y=1.20</t>
  </si>
  <si>
    <t>CH+N2</t>
    <phoneticPr fontId="1" type="noConversion"/>
  </si>
  <si>
    <t>CH+CO2</t>
    <phoneticPr fontId="1" type="noConversion"/>
  </si>
  <si>
    <t>CH+H2</t>
    <phoneticPr fontId="1" type="noConversion"/>
  </si>
  <si>
    <t>N2+CO2</t>
    <phoneticPr fontId="1" type="noConversion"/>
  </si>
  <si>
    <t>N2+H2</t>
    <phoneticPr fontId="1" type="noConversion"/>
  </si>
  <si>
    <t>y=0.72+1.875D-5(320-T)^2</t>
    <phoneticPr fontId="1" type="noConversion"/>
  </si>
  <si>
    <t>c(0)</t>
    <phoneticPr fontId="1" type="noConversion"/>
  </si>
  <si>
    <t>c(1)</t>
    <phoneticPr fontId="1" type="noConversion"/>
  </si>
  <si>
    <t>c(2)</t>
    <phoneticPr fontId="1" type="noConversion"/>
  </si>
  <si>
    <t>ijk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</si>
</sst>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000E+00"/>
    <numFmt numFmtId="178" formatCode="#,##0.000000"/>
    <numFmt numFmtId="179" formatCode="0.00000"/>
  </numFmts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6"/>
      <color theme="1"/>
      <name val="等线"/>
      <family val="2"/>
      <scheme val="minor"/>
    </font>
    <font>
      <b/>
      <vertAlign val="subscript"/>
      <sz val="16"/>
      <color rgb="FF000000"/>
      <name val="Times New Roman"/>
      <family val="1"/>
    </font>
    <font>
      <vertAlign val="subscript"/>
      <sz val="16"/>
      <color rgb="FF000000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vertAlign val="subscript"/>
      <sz val="16"/>
      <color rgb="FF000000"/>
      <name val="等线"/>
      <family val="2"/>
    </font>
    <font>
      <b/>
      <sz val="16"/>
      <color rgb="FF000000"/>
      <name val="等线"/>
      <family val="2"/>
    </font>
    <font>
      <sz val="12"/>
      <color rgb="FF000000"/>
      <name val="宋体"/>
      <family val="3"/>
      <charset val="134"/>
    </font>
    <font>
      <sz val="12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178" fontId="0" fillId="0" borderId="0" xfId="0" applyNumberFormat="1"/>
    <xf numFmtId="0" fontId="0" fillId="3" borderId="0" xfId="0" applyFill="1"/>
    <xf numFmtId="0" fontId="2" fillId="0" borderId="0" xfId="0" applyFont="1"/>
    <xf numFmtId="0" fontId="7" fillId="0" borderId="0" xfId="0" applyFont="1"/>
    <xf numFmtId="0" fontId="10" fillId="0" borderId="0" xfId="0" applyFont="1"/>
    <xf numFmtId="179" fontId="0" fillId="0" borderId="0" xfId="0" applyNumberFormat="1"/>
    <xf numFmtId="0" fontId="0" fillId="0" borderId="0" xfId="0" applyAlignment="1">
      <alignment horizontal="center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0" fillId="0" borderId="0" xfId="0" applyFont="1" applyFill="1"/>
    <xf numFmtId="0" fontId="9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top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493988</xdr:colOff>
      <xdr:row>48</xdr:row>
      <xdr:rowOff>132836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079D561-5703-499A-9D36-4F8DA4D0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05350"/>
          <a:ext cx="10495238" cy="411428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新建文本文档 (2)_2" connectionId="1" xr16:uid="{A17A245B-FC31-4CD2-8811-D32CE6FD8538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C97C-0297-41FC-B223-6FC8E17CC7B0}">
  <sheetPr codeName="Sheet1"/>
  <dimension ref="A1:W233"/>
  <sheetViews>
    <sheetView topLeftCell="A125" zoomScale="85" zoomScaleNormal="85" workbookViewId="0">
      <selection activeCell="B225" sqref="B225"/>
    </sheetView>
  </sheetViews>
  <sheetFormatPr defaultRowHeight="14.25" x14ac:dyDescent="0.2"/>
  <cols>
    <col min="1" max="1" width="13.75" customWidth="1"/>
    <col min="2" max="2" width="16.5" bestFit="1" customWidth="1"/>
    <col min="3" max="3" width="13" bestFit="1" customWidth="1"/>
    <col min="4" max="4" width="10.375" bestFit="1" customWidth="1"/>
    <col min="5" max="5" width="15.375" bestFit="1" customWidth="1"/>
    <col min="6" max="6" width="9.875" bestFit="1" customWidth="1"/>
    <col min="7" max="7" width="8.875" bestFit="1" customWidth="1"/>
    <col min="8" max="8" width="9.5" bestFit="1" customWidth="1"/>
    <col min="9" max="9" width="6.625" bestFit="1" customWidth="1"/>
    <col min="10" max="10" width="8.625" bestFit="1" customWidth="1"/>
    <col min="11" max="11" width="6.125" customWidth="1"/>
    <col min="23" max="23" width="9" style="4"/>
  </cols>
  <sheetData>
    <row r="1" spans="1:11" x14ac:dyDescent="0.2">
      <c r="A1" t="s">
        <v>61</v>
      </c>
    </row>
    <row r="2" spans="1:11" x14ac:dyDescent="0.2">
      <c r="A2" t="s">
        <v>51</v>
      </c>
      <c r="B2" t="s">
        <v>50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57</v>
      </c>
      <c r="I2" t="s">
        <v>58</v>
      </c>
      <c r="J2" t="s">
        <v>59</v>
      </c>
      <c r="K2" t="s">
        <v>60</v>
      </c>
    </row>
    <row r="3" spans="1:11" x14ac:dyDescent="0.2">
      <c r="A3">
        <v>1</v>
      </c>
      <c r="B3" s="2">
        <v>0.15383260000000001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2">
      <c r="A4">
        <v>2</v>
      </c>
      <c r="B4" s="2">
        <v>1.341953</v>
      </c>
      <c r="C4">
        <v>1</v>
      </c>
      <c r="D4">
        <v>0</v>
      </c>
      <c r="E4">
        <v>0</v>
      </c>
      <c r="F4">
        <v>0.5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2">
      <c r="A5">
        <v>3</v>
      </c>
      <c r="B5" s="2">
        <v>-2.998583</v>
      </c>
      <c r="C5">
        <v>1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">
      <c r="A6">
        <v>4</v>
      </c>
      <c r="B6" s="2">
        <v>-4.8312279999999999E-2</v>
      </c>
      <c r="C6">
        <v>1</v>
      </c>
      <c r="D6">
        <v>0</v>
      </c>
      <c r="E6">
        <v>0</v>
      </c>
      <c r="F6">
        <v>3.5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2">
      <c r="A7">
        <v>5</v>
      </c>
      <c r="B7" s="2">
        <v>0.37579649999999998</v>
      </c>
      <c r="C7">
        <v>1</v>
      </c>
      <c r="D7">
        <v>0</v>
      </c>
      <c r="E7">
        <v>0</v>
      </c>
      <c r="F7">
        <v>-0.5</v>
      </c>
      <c r="G7">
        <v>1</v>
      </c>
      <c r="H7">
        <v>0</v>
      </c>
      <c r="I7">
        <v>0</v>
      </c>
      <c r="J7">
        <v>0</v>
      </c>
      <c r="K7">
        <v>0</v>
      </c>
    </row>
    <row r="8" spans="1:11" x14ac:dyDescent="0.2">
      <c r="A8">
        <v>6</v>
      </c>
      <c r="B8" s="2">
        <v>-1.589575</v>
      </c>
      <c r="C8">
        <v>1</v>
      </c>
      <c r="D8">
        <v>0</v>
      </c>
      <c r="E8">
        <v>0</v>
      </c>
      <c r="F8">
        <v>4.5</v>
      </c>
      <c r="G8">
        <v>1</v>
      </c>
      <c r="H8">
        <v>0</v>
      </c>
      <c r="I8">
        <v>0</v>
      </c>
      <c r="J8">
        <v>0</v>
      </c>
      <c r="K8">
        <v>0</v>
      </c>
    </row>
    <row r="9" spans="1:11" x14ac:dyDescent="0.2">
      <c r="A9">
        <v>7</v>
      </c>
      <c r="B9" s="2">
        <v>-5.3588469999999999E-2</v>
      </c>
      <c r="C9">
        <v>1</v>
      </c>
      <c r="D9">
        <v>0</v>
      </c>
      <c r="E9">
        <v>0</v>
      </c>
      <c r="F9">
        <v>0.5</v>
      </c>
      <c r="G9">
        <v>0</v>
      </c>
      <c r="H9">
        <v>1</v>
      </c>
      <c r="I9">
        <v>0</v>
      </c>
      <c r="J9">
        <v>0</v>
      </c>
      <c r="K9">
        <v>0</v>
      </c>
    </row>
    <row r="10" spans="1:11" x14ac:dyDescent="0.2">
      <c r="A10">
        <v>8</v>
      </c>
      <c r="B10" s="2">
        <v>0.88659463000000005</v>
      </c>
      <c r="C10">
        <v>1</v>
      </c>
      <c r="D10">
        <v>0</v>
      </c>
      <c r="E10">
        <v>0</v>
      </c>
      <c r="F10">
        <v>7.5</v>
      </c>
      <c r="G10">
        <v>0</v>
      </c>
      <c r="H10">
        <v>0</v>
      </c>
      <c r="I10">
        <v>0</v>
      </c>
      <c r="J10">
        <v>1</v>
      </c>
      <c r="K10">
        <v>0</v>
      </c>
    </row>
    <row r="11" spans="1:11" x14ac:dyDescent="0.2">
      <c r="A11">
        <v>9</v>
      </c>
      <c r="B11" s="2">
        <v>-0.71023703999999999</v>
      </c>
      <c r="C11">
        <v>1</v>
      </c>
      <c r="D11">
        <v>0</v>
      </c>
      <c r="E11">
        <v>0</v>
      </c>
      <c r="F11">
        <v>9.5</v>
      </c>
      <c r="G11">
        <v>0</v>
      </c>
      <c r="H11">
        <v>0</v>
      </c>
      <c r="I11">
        <v>0</v>
      </c>
      <c r="J11">
        <v>1</v>
      </c>
      <c r="K11">
        <v>0</v>
      </c>
    </row>
    <row r="12" spans="1:11" x14ac:dyDescent="0.2">
      <c r="A12">
        <v>10</v>
      </c>
      <c r="B12" s="2">
        <v>-1.471722</v>
      </c>
      <c r="C12">
        <v>1</v>
      </c>
      <c r="D12">
        <v>0</v>
      </c>
      <c r="E12">
        <v>0</v>
      </c>
      <c r="F12">
        <v>6</v>
      </c>
      <c r="G12">
        <v>0</v>
      </c>
      <c r="H12">
        <v>0</v>
      </c>
      <c r="I12">
        <v>0</v>
      </c>
      <c r="J12">
        <v>0</v>
      </c>
      <c r="K12">
        <v>1</v>
      </c>
    </row>
    <row r="13" spans="1:11" x14ac:dyDescent="0.2">
      <c r="A13">
        <v>11</v>
      </c>
      <c r="B13" s="2">
        <v>1.3218503500000001</v>
      </c>
      <c r="C13">
        <v>1</v>
      </c>
      <c r="D13">
        <v>0</v>
      </c>
      <c r="E13">
        <v>0</v>
      </c>
      <c r="F13">
        <v>12</v>
      </c>
      <c r="G13">
        <v>0</v>
      </c>
      <c r="H13">
        <v>0</v>
      </c>
      <c r="I13">
        <v>0</v>
      </c>
      <c r="J13">
        <v>0</v>
      </c>
      <c r="K13">
        <v>1</v>
      </c>
    </row>
    <row r="14" spans="1:11" x14ac:dyDescent="0.2">
      <c r="A14">
        <v>12</v>
      </c>
      <c r="B14" s="2">
        <v>-0.78665925000000003</v>
      </c>
      <c r="C14">
        <v>1</v>
      </c>
      <c r="D14">
        <v>0</v>
      </c>
      <c r="E14">
        <v>0</v>
      </c>
      <c r="F14">
        <v>12.5</v>
      </c>
      <c r="G14">
        <v>0</v>
      </c>
      <c r="H14">
        <v>0</v>
      </c>
      <c r="I14">
        <v>0</v>
      </c>
      <c r="J14">
        <v>0</v>
      </c>
      <c r="K14">
        <v>1</v>
      </c>
    </row>
    <row r="15" spans="1:11" x14ac:dyDescent="0.2">
      <c r="A15">
        <v>13</v>
      </c>
      <c r="B15" s="3">
        <v>2.2912899999999998E-9</v>
      </c>
      <c r="C15">
        <v>1</v>
      </c>
      <c r="D15">
        <v>1</v>
      </c>
      <c r="E15">
        <v>3</v>
      </c>
      <c r="F15">
        <v>-6</v>
      </c>
      <c r="G15">
        <v>0</v>
      </c>
      <c r="H15">
        <v>0</v>
      </c>
      <c r="I15">
        <v>1</v>
      </c>
      <c r="J15">
        <v>0</v>
      </c>
      <c r="K15">
        <v>0</v>
      </c>
    </row>
    <row r="16" spans="1:11" x14ac:dyDescent="0.2">
      <c r="A16">
        <v>14</v>
      </c>
      <c r="B16" s="2">
        <v>0.15767239999999999</v>
      </c>
      <c r="C16">
        <v>1</v>
      </c>
      <c r="D16">
        <v>1</v>
      </c>
      <c r="E16">
        <v>2</v>
      </c>
      <c r="F16">
        <v>2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2">
      <c r="A17">
        <v>15</v>
      </c>
      <c r="B17" s="2">
        <v>-0.43638640000000001</v>
      </c>
      <c r="C17">
        <v>1</v>
      </c>
      <c r="D17">
        <v>1</v>
      </c>
      <c r="E17">
        <v>2</v>
      </c>
      <c r="F17">
        <v>3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2">
      <c r="A18">
        <v>16</v>
      </c>
      <c r="B18" s="2">
        <v>-4.4081589999999997E-2</v>
      </c>
      <c r="C18">
        <v>1</v>
      </c>
      <c r="D18">
        <v>1</v>
      </c>
      <c r="E18">
        <v>2</v>
      </c>
      <c r="F18">
        <v>2</v>
      </c>
      <c r="G18">
        <v>0</v>
      </c>
      <c r="H18">
        <v>1</v>
      </c>
      <c r="I18">
        <v>0</v>
      </c>
      <c r="J18">
        <v>0</v>
      </c>
      <c r="K18">
        <v>0</v>
      </c>
    </row>
    <row r="19" spans="1:11" x14ac:dyDescent="0.2">
      <c r="A19">
        <v>17</v>
      </c>
      <c r="B19" s="2">
        <v>-3.433888E-3</v>
      </c>
      <c r="C19">
        <v>1</v>
      </c>
      <c r="D19">
        <v>1</v>
      </c>
      <c r="E19">
        <v>4</v>
      </c>
      <c r="F19">
        <v>2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x14ac:dyDescent="0.2">
      <c r="A20">
        <v>18</v>
      </c>
      <c r="B20" s="2">
        <v>3.2059049999999999E-2</v>
      </c>
      <c r="C20">
        <v>1</v>
      </c>
      <c r="D20">
        <v>1</v>
      </c>
      <c r="E20">
        <v>4</v>
      </c>
      <c r="F20">
        <v>11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2">
      <c r="A21">
        <v>19</v>
      </c>
      <c r="B21" s="2">
        <v>2.4873550000000001E-2</v>
      </c>
      <c r="C21">
        <v>2</v>
      </c>
      <c r="D21">
        <v>0</v>
      </c>
      <c r="E21">
        <v>0</v>
      </c>
      <c r="F21">
        <v>-0.5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2">
      <c r="A22">
        <v>20</v>
      </c>
      <c r="B22" s="2">
        <v>7.3322789999999999E-2</v>
      </c>
      <c r="C22">
        <v>2</v>
      </c>
      <c r="D22">
        <v>0</v>
      </c>
      <c r="E22">
        <v>0</v>
      </c>
      <c r="F22">
        <v>0.5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2">
      <c r="A23">
        <v>21</v>
      </c>
      <c r="B23" s="2">
        <v>-1.6005730000000001E-3</v>
      </c>
      <c r="C23">
        <v>2</v>
      </c>
      <c r="D23">
        <v>1</v>
      </c>
      <c r="E23">
        <v>2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2">
      <c r="A24">
        <v>22</v>
      </c>
      <c r="B24" s="2">
        <v>0.6424706</v>
      </c>
      <c r="C24">
        <v>2</v>
      </c>
      <c r="D24">
        <v>1</v>
      </c>
      <c r="E24">
        <v>2</v>
      </c>
      <c r="F24">
        <v>4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2">
      <c r="A25">
        <v>23</v>
      </c>
      <c r="B25" s="2">
        <v>-0.41626010000000002</v>
      </c>
      <c r="C25">
        <v>2</v>
      </c>
      <c r="D25">
        <v>1</v>
      </c>
      <c r="E25">
        <v>2</v>
      </c>
      <c r="F25">
        <v>6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2">
      <c r="A26">
        <v>24</v>
      </c>
      <c r="B26" s="2">
        <v>-6.6899570000000005E-2</v>
      </c>
      <c r="C26">
        <v>2</v>
      </c>
      <c r="D26">
        <v>1</v>
      </c>
      <c r="E26">
        <v>4</v>
      </c>
      <c r="F26">
        <v>21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2">
      <c r="A27">
        <v>25</v>
      </c>
      <c r="B27">
        <v>0.27917950000000002</v>
      </c>
      <c r="C27">
        <v>2</v>
      </c>
      <c r="D27">
        <v>1</v>
      </c>
      <c r="E27">
        <v>4</v>
      </c>
      <c r="F27">
        <v>23</v>
      </c>
      <c r="G27">
        <v>1</v>
      </c>
      <c r="H27">
        <v>0</v>
      </c>
      <c r="I27">
        <v>0</v>
      </c>
      <c r="J27">
        <v>0</v>
      </c>
      <c r="K27">
        <v>0</v>
      </c>
    </row>
    <row r="28" spans="1:11" x14ac:dyDescent="0.2">
      <c r="A28">
        <v>26</v>
      </c>
      <c r="B28">
        <v>-0.69660509999999998</v>
      </c>
      <c r="C28">
        <v>2</v>
      </c>
      <c r="D28">
        <v>1</v>
      </c>
      <c r="E28">
        <v>4</v>
      </c>
      <c r="F28">
        <v>22</v>
      </c>
      <c r="G28">
        <v>0</v>
      </c>
      <c r="H28">
        <v>1</v>
      </c>
      <c r="I28">
        <v>0</v>
      </c>
      <c r="J28">
        <v>0</v>
      </c>
      <c r="K28">
        <v>0</v>
      </c>
    </row>
    <row r="29" spans="1:11" x14ac:dyDescent="0.2">
      <c r="A29">
        <v>27</v>
      </c>
      <c r="B29">
        <v>-2.8605890000000002E-3</v>
      </c>
      <c r="C29">
        <v>2</v>
      </c>
      <c r="D29">
        <v>1</v>
      </c>
      <c r="E29">
        <v>4</v>
      </c>
      <c r="F29">
        <v>-1</v>
      </c>
      <c r="G29">
        <v>0</v>
      </c>
      <c r="H29">
        <v>0</v>
      </c>
      <c r="I29">
        <v>1</v>
      </c>
      <c r="J29">
        <v>0</v>
      </c>
      <c r="K29">
        <v>0</v>
      </c>
    </row>
    <row r="30" spans="1:11" x14ac:dyDescent="0.2">
      <c r="A30">
        <v>28</v>
      </c>
      <c r="B30">
        <v>-8.0988359999999999E-3</v>
      </c>
      <c r="C30">
        <v>3</v>
      </c>
      <c r="D30">
        <v>0</v>
      </c>
      <c r="E30">
        <v>0</v>
      </c>
      <c r="F30">
        <v>-0.5</v>
      </c>
      <c r="G30">
        <v>0</v>
      </c>
      <c r="H30">
        <v>1</v>
      </c>
      <c r="I30">
        <v>0</v>
      </c>
      <c r="J30">
        <v>0</v>
      </c>
      <c r="K30">
        <v>0</v>
      </c>
    </row>
    <row r="31" spans="1:11" x14ac:dyDescent="0.2">
      <c r="A31">
        <v>29</v>
      </c>
      <c r="B31">
        <v>3.150547</v>
      </c>
      <c r="C31">
        <v>3</v>
      </c>
      <c r="D31">
        <v>1</v>
      </c>
      <c r="E31">
        <v>1</v>
      </c>
      <c r="F31">
        <v>7</v>
      </c>
      <c r="G31">
        <v>1</v>
      </c>
      <c r="H31">
        <v>0</v>
      </c>
      <c r="I31">
        <v>0</v>
      </c>
      <c r="J31">
        <v>0</v>
      </c>
      <c r="K31">
        <v>0</v>
      </c>
    </row>
    <row r="32" spans="1:11" x14ac:dyDescent="0.2">
      <c r="A32">
        <v>30</v>
      </c>
      <c r="B32">
        <v>7.2244789999999998E-3</v>
      </c>
      <c r="C32">
        <v>3</v>
      </c>
      <c r="D32">
        <v>1</v>
      </c>
      <c r="E32">
        <v>1</v>
      </c>
      <c r="F32">
        <v>-1</v>
      </c>
      <c r="G32">
        <v>0</v>
      </c>
      <c r="H32">
        <v>0</v>
      </c>
      <c r="I32">
        <v>1</v>
      </c>
      <c r="J32">
        <v>0</v>
      </c>
      <c r="K32">
        <v>0</v>
      </c>
    </row>
    <row r="33" spans="1:11" x14ac:dyDescent="0.2">
      <c r="A33">
        <v>31</v>
      </c>
      <c r="B33">
        <v>-0.70575290000000002</v>
      </c>
      <c r="C33">
        <v>3</v>
      </c>
      <c r="D33">
        <v>1</v>
      </c>
      <c r="E33">
        <v>2</v>
      </c>
      <c r="F33">
        <v>6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2">
      <c r="A34">
        <v>32</v>
      </c>
      <c r="B34">
        <v>0.53497919999999999</v>
      </c>
      <c r="C34">
        <v>3</v>
      </c>
      <c r="D34">
        <v>1</v>
      </c>
      <c r="E34">
        <v>2</v>
      </c>
      <c r="F34">
        <v>4</v>
      </c>
      <c r="G34">
        <v>1</v>
      </c>
      <c r="H34">
        <v>0</v>
      </c>
      <c r="I34">
        <v>0</v>
      </c>
      <c r="J34">
        <v>0</v>
      </c>
      <c r="K34">
        <v>0</v>
      </c>
    </row>
    <row r="35" spans="1:11" x14ac:dyDescent="0.2">
      <c r="A35">
        <v>33</v>
      </c>
      <c r="B35">
        <v>-7.9314910000000002E-2</v>
      </c>
      <c r="C35">
        <v>3</v>
      </c>
      <c r="D35">
        <v>1</v>
      </c>
      <c r="E35">
        <v>3</v>
      </c>
      <c r="F35">
        <v>1</v>
      </c>
      <c r="G35">
        <v>1</v>
      </c>
      <c r="H35">
        <v>0</v>
      </c>
      <c r="I35">
        <v>0</v>
      </c>
      <c r="J35">
        <v>0</v>
      </c>
      <c r="K35">
        <v>0</v>
      </c>
    </row>
    <row r="36" spans="1:11" x14ac:dyDescent="0.2">
      <c r="A36">
        <v>34</v>
      </c>
      <c r="B36">
        <v>-1.4184650000000001</v>
      </c>
      <c r="C36">
        <v>3</v>
      </c>
      <c r="D36">
        <v>1</v>
      </c>
      <c r="E36">
        <v>3</v>
      </c>
      <c r="F36">
        <v>9</v>
      </c>
      <c r="G36">
        <v>1</v>
      </c>
      <c r="H36">
        <v>0</v>
      </c>
      <c r="I36">
        <v>0</v>
      </c>
      <c r="J36">
        <v>0</v>
      </c>
      <c r="K36">
        <v>0</v>
      </c>
    </row>
    <row r="37" spans="1:11" x14ac:dyDescent="0.2">
      <c r="A37">
        <v>35</v>
      </c>
      <c r="B37" s="3">
        <v>-5.9990499999999998E-17</v>
      </c>
      <c r="C37">
        <v>3</v>
      </c>
      <c r="D37">
        <v>1</v>
      </c>
      <c r="E37">
        <v>4</v>
      </c>
      <c r="F37">
        <v>-13</v>
      </c>
      <c r="G37">
        <v>0</v>
      </c>
      <c r="H37">
        <v>0</v>
      </c>
      <c r="I37">
        <v>1</v>
      </c>
      <c r="J37">
        <v>0</v>
      </c>
      <c r="K37">
        <v>0</v>
      </c>
    </row>
    <row r="38" spans="1:11" x14ac:dyDescent="0.2">
      <c r="A38">
        <v>36</v>
      </c>
      <c r="B38">
        <v>0.1058402</v>
      </c>
      <c r="C38">
        <v>3</v>
      </c>
      <c r="D38">
        <v>1</v>
      </c>
      <c r="E38">
        <v>4</v>
      </c>
      <c r="F38">
        <v>21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2">
      <c r="A39">
        <v>37</v>
      </c>
      <c r="B39">
        <v>3.431729E-2</v>
      </c>
      <c r="C39">
        <v>3</v>
      </c>
      <c r="D39">
        <v>1</v>
      </c>
      <c r="E39">
        <v>4</v>
      </c>
      <c r="F39">
        <v>8</v>
      </c>
      <c r="G39">
        <v>0</v>
      </c>
      <c r="H39">
        <v>1</v>
      </c>
      <c r="I39">
        <v>0</v>
      </c>
      <c r="J39">
        <v>0</v>
      </c>
      <c r="K39">
        <v>0</v>
      </c>
    </row>
    <row r="40" spans="1:11" x14ac:dyDescent="0.2">
      <c r="A40">
        <v>38</v>
      </c>
      <c r="B40">
        <v>-7.0228469999999996E-3</v>
      </c>
      <c r="C40">
        <v>4</v>
      </c>
      <c r="D40">
        <v>0</v>
      </c>
      <c r="E40">
        <v>0</v>
      </c>
      <c r="F40">
        <v>-0.5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2">
      <c r="A41">
        <v>39</v>
      </c>
      <c r="B41">
        <v>2.4955870000000002E-2</v>
      </c>
      <c r="C41">
        <v>4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2">
      <c r="A42">
        <v>40</v>
      </c>
      <c r="B42">
        <v>4.2968180000000002E-2</v>
      </c>
      <c r="C42">
        <v>4</v>
      </c>
      <c r="D42">
        <v>1</v>
      </c>
      <c r="E42">
        <v>2</v>
      </c>
      <c r="F42">
        <v>2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2">
      <c r="A43">
        <v>41</v>
      </c>
      <c r="B43">
        <v>0.74654529999999997</v>
      </c>
      <c r="C43">
        <v>4</v>
      </c>
      <c r="D43">
        <v>1</v>
      </c>
      <c r="E43">
        <v>2</v>
      </c>
      <c r="F43">
        <v>7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2">
      <c r="A44">
        <v>42</v>
      </c>
      <c r="B44">
        <v>-0.29196129999999998</v>
      </c>
      <c r="C44">
        <v>4</v>
      </c>
      <c r="D44">
        <v>1</v>
      </c>
      <c r="E44">
        <v>2</v>
      </c>
      <c r="F44">
        <v>9</v>
      </c>
      <c r="G44">
        <v>0</v>
      </c>
      <c r="H44">
        <v>1</v>
      </c>
      <c r="I44">
        <v>0</v>
      </c>
      <c r="J44">
        <v>0</v>
      </c>
      <c r="K44">
        <v>0</v>
      </c>
    </row>
    <row r="45" spans="1:11" x14ac:dyDescent="0.2">
      <c r="A45">
        <v>43</v>
      </c>
      <c r="B45">
        <v>7.2946160000000004</v>
      </c>
      <c r="C45">
        <v>4</v>
      </c>
      <c r="D45">
        <v>1</v>
      </c>
      <c r="E45">
        <v>4</v>
      </c>
      <c r="F45">
        <v>22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 x14ac:dyDescent="0.2">
      <c r="A46">
        <v>44</v>
      </c>
      <c r="B46">
        <v>-9.9367570000000001</v>
      </c>
      <c r="C46">
        <v>4</v>
      </c>
      <c r="D46">
        <v>1</v>
      </c>
      <c r="E46">
        <v>4</v>
      </c>
      <c r="F46">
        <v>23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2">
      <c r="A47">
        <v>45</v>
      </c>
      <c r="B47">
        <v>-5.3998079999999999E-3</v>
      </c>
      <c r="C47">
        <v>5</v>
      </c>
      <c r="D47">
        <v>0</v>
      </c>
      <c r="E47">
        <v>0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2">
      <c r="A48">
        <v>46</v>
      </c>
      <c r="B48">
        <v>-0.24325669999999999</v>
      </c>
      <c r="C48">
        <v>5</v>
      </c>
      <c r="D48">
        <v>1</v>
      </c>
      <c r="E48">
        <v>2</v>
      </c>
      <c r="F48">
        <v>9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5" x14ac:dyDescent="0.2">
      <c r="A49">
        <v>47</v>
      </c>
      <c r="B49">
        <v>4.9870159999999997E-2</v>
      </c>
      <c r="C49">
        <v>5</v>
      </c>
      <c r="D49">
        <v>1</v>
      </c>
      <c r="E49">
        <v>2</v>
      </c>
      <c r="F49">
        <v>3</v>
      </c>
      <c r="G49">
        <v>0</v>
      </c>
      <c r="H49">
        <v>1</v>
      </c>
      <c r="I49">
        <v>0</v>
      </c>
      <c r="J49">
        <v>0</v>
      </c>
      <c r="K49">
        <v>0</v>
      </c>
    </row>
    <row r="50" spans="1:15" x14ac:dyDescent="0.2">
      <c r="A50">
        <v>48</v>
      </c>
      <c r="B50">
        <v>3.7337970000000001E-3</v>
      </c>
      <c r="C50">
        <v>5</v>
      </c>
      <c r="D50">
        <v>1</v>
      </c>
      <c r="E50">
        <v>4</v>
      </c>
      <c r="F50">
        <v>8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5" x14ac:dyDescent="0.2">
      <c r="A51">
        <v>49</v>
      </c>
      <c r="B51">
        <v>1.874951</v>
      </c>
      <c r="C51">
        <v>5</v>
      </c>
      <c r="D51">
        <v>1</v>
      </c>
      <c r="E51">
        <v>4</v>
      </c>
      <c r="F51">
        <v>23</v>
      </c>
      <c r="G51">
        <v>0</v>
      </c>
      <c r="H51">
        <v>1</v>
      </c>
      <c r="I51">
        <v>0</v>
      </c>
      <c r="J51">
        <v>0</v>
      </c>
      <c r="K51">
        <v>0</v>
      </c>
    </row>
    <row r="52" spans="1:15" x14ac:dyDescent="0.2">
      <c r="A52">
        <v>50</v>
      </c>
      <c r="B52">
        <v>2.1681439999999999E-3</v>
      </c>
      <c r="C52">
        <v>6</v>
      </c>
      <c r="D52">
        <v>0</v>
      </c>
      <c r="E52">
        <v>0</v>
      </c>
      <c r="F52">
        <v>1.5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5" x14ac:dyDescent="0.2">
      <c r="A53">
        <v>51</v>
      </c>
      <c r="B53">
        <v>-0.65871639999999998</v>
      </c>
      <c r="C53">
        <v>6</v>
      </c>
      <c r="D53">
        <v>1</v>
      </c>
      <c r="E53">
        <v>2</v>
      </c>
      <c r="F53">
        <v>5</v>
      </c>
      <c r="G53">
        <v>1</v>
      </c>
      <c r="H53">
        <v>0</v>
      </c>
      <c r="I53">
        <v>0</v>
      </c>
      <c r="J53">
        <v>0</v>
      </c>
      <c r="K53">
        <v>0</v>
      </c>
    </row>
    <row r="54" spans="1:15" x14ac:dyDescent="0.2">
      <c r="A54">
        <v>52</v>
      </c>
      <c r="B54">
        <v>2.0551799999999999E-4</v>
      </c>
      <c r="C54">
        <v>7</v>
      </c>
      <c r="D54">
        <v>0</v>
      </c>
      <c r="E54">
        <v>0</v>
      </c>
      <c r="F54">
        <v>-0.5</v>
      </c>
      <c r="G54">
        <v>0</v>
      </c>
      <c r="H54">
        <v>1</v>
      </c>
      <c r="I54">
        <v>0</v>
      </c>
      <c r="J54">
        <v>0</v>
      </c>
      <c r="K54">
        <v>0</v>
      </c>
    </row>
    <row r="55" spans="1:15" x14ac:dyDescent="0.2">
      <c r="A55">
        <v>53</v>
      </c>
      <c r="B55">
        <v>9.7761949999999997E-3</v>
      </c>
      <c r="C55">
        <v>7</v>
      </c>
      <c r="D55">
        <v>1</v>
      </c>
      <c r="E55">
        <v>2</v>
      </c>
      <c r="F55">
        <v>4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5" x14ac:dyDescent="0.2">
      <c r="A56">
        <v>54</v>
      </c>
      <c r="B56">
        <v>-2.0487080000000001E-2</v>
      </c>
      <c r="C56">
        <v>8</v>
      </c>
      <c r="D56">
        <v>1</v>
      </c>
      <c r="E56">
        <v>1</v>
      </c>
      <c r="F56">
        <v>7</v>
      </c>
      <c r="G56">
        <v>1</v>
      </c>
      <c r="H56">
        <v>0</v>
      </c>
      <c r="I56">
        <v>0</v>
      </c>
      <c r="J56">
        <v>0</v>
      </c>
      <c r="K56">
        <v>0</v>
      </c>
    </row>
    <row r="57" spans="1:15" x14ac:dyDescent="0.2">
      <c r="A57">
        <v>55</v>
      </c>
      <c r="B57">
        <v>1.557322E-2</v>
      </c>
      <c r="C57">
        <v>8</v>
      </c>
      <c r="D57">
        <v>1</v>
      </c>
      <c r="E57">
        <v>2</v>
      </c>
      <c r="F57">
        <v>3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5" x14ac:dyDescent="0.2">
      <c r="A58">
        <v>56</v>
      </c>
      <c r="B58">
        <v>6.8624150000000002E-3</v>
      </c>
      <c r="C58">
        <v>8</v>
      </c>
      <c r="D58">
        <v>1</v>
      </c>
      <c r="E58">
        <v>2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</row>
    <row r="59" spans="1:15" x14ac:dyDescent="0.2">
      <c r="A59">
        <v>57</v>
      </c>
      <c r="B59">
        <v>-1.226752E-3</v>
      </c>
      <c r="C59">
        <v>9</v>
      </c>
      <c r="D59">
        <v>1</v>
      </c>
      <c r="E59">
        <v>2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5" x14ac:dyDescent="0.2">
      <c r="A60">
        <v>58</v>
      </c>
      <c r="B60">
        <v>2.8509080000000001E-3</v>
      </c>
      <c r="C60">
        <v>9</v>
      </c>
      <c r="D60">
        <v>1</v>
      </c>
      <c r="E60">
        <v>2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</row>
    <row r="62" spans="1:15" x14ac:dyDescent="0.2">
      <c r="A62" t="s">
        <v>62</v>
      </c>
    </row>
    <row r="63" spans="1:15" ht="37.5" customHeight="1" x14ac:dyDescent="0.2">
      <c r="A63" t="s">
        <v>63</v>
      </c>
      <c r="B63" t="s">
        <v>64</v>
      </c>
      <c r="C63" s="1" t="s">
        <v>71</v>
      </c>
      <c r="D63" s="1" t="s">
        <v>72</v>
      </c>
      <c r="E63" s="1" t="s">
        <v>65</v>
      </c>
      <c r="F63" s="1" t="s">
        <v>66</v>
      </c>
      <c r="G63" s="1" t="s">
        <v>67</v>
      </c>
      <c r="H63" s="1" t="s">
        <v>68</v>
      </c>
      <c r="I63" s="1" t="s">
        <v>69</v>
      </c>
      <c r="J63" s="1" t="s">
        <v>70</v>
      </c>
      <c r="L63">
        <v>8</v>
      </c>
    </row>
    <row r="64" spans="1:15" x14ac:dyDescent="0.2">
      <c r="A64">
        <v>1</v>
      </c>
      <c r="B64" t="s">
        <v>7</v>
      </c>
      <c r="C64">
        <v>16.042999999999999</v>
      </c>
      <c r="D64">
        <v>151.31829999999999</v>
      </c>
      <c r="E64">
        <v>0.46192549999999999</v>
      </c>
      <c r="F64">
        <v>0</v>
      </c>
      <c r="G64">
        <v>0</v>
      </c>
      <c r="H64">
        <v>0</v>
      </c>
      <c r="I64">
        <v>0</v>
      </c>
      <c r="J64">
        <v>0</v>
      </c>
      <c r="L64">
        <f ca="1">OFFSET($A$64,N64-1,L$63-1,1,1)</f>
        <v>0</v>
      </c>
      <c r="M64">
        <v>0.73499999999999999</v>
      </c>
      <c r="N64">
        <v>1</v>
      </c>
      <c r="O64">
        <f ca="1">SUMPRODUCT(L64:L77,M64:M77)</f>
        <v>9.5000000000000001E-2</v>
      </c>
    </row>
    <row r="65" spans="1:14" x14ac:dyDescent="0.2">
      <c r="A65">
        <v>2</v>
      </c>
      <c r="B65" t="s">
        <v>3</v>
      </c>
      <c r="C65">
        <v>28.013500000000001</v>
      </c>
      <c r="D65">
        <v>99.737780000000001</v>
      </c>
      <c r="E65">
        <v>0.44791530000000002</v>
      </c>
      <c r="F65">
        <v>2.7814999999999999E-2</v>
      </c>
      <c r="G65">
        <v>0</v>
      </c>
      <c r="H65">
        <v>0</v>
      </c>
      <c r="I65">
        <v>0</v>
      </c>
      <c r="J65">
        <v>0</v>
      </c>
      <c r="L65">
        <f t="shared" ref="L65:L77" ca="1" si="0">OFFSET($A$64,N65-1,L$63-1,1,1)</f>
        <v>0</v>
      </c>
      <c r="M65">
        <v>0.1</v>
      </c>
      <c r="N65">
        <v>2</v>
      </c>
    </row>
    <row r="66" spans="1:14" x14ac:dyDescent="0.2">
      <c r="A66">
        <v>3</v>
      </c>
      <c r="B66" t="s">
        <v>1</v>
      </c>
      <c r="C66">
        <v>44.01</v>
      </c>
      <c r="D66">
        <v>241.9606</v>
      </c>
      <c r="E66">
        <v>0.45574890000000001</v>
      </c>
      <c r="F66">
        <v>0.18906500000000001</v>
      </c>
      <c r="G66">
        <v>0.69</v>
      </c>
      <c r="H66">
        <v>0</v>
      </c>
      <c r="I66">
        <v>0</v>
      </c>
      <c r="J66">
        <v>0</v>
      </c>
      <c r="L66">
        <f t="shared" ca="1" si="0"/>
        <v>0</v>
      </c>
      <c r="M66">
        <v>1.6E-2</v>
      </c>
      <c r="N66">
        <v>3</v>
      </c>
    </row>
    <row r="67" spans="1:14" x14ac:dyDescent="0.2">
      <c r="A67">
        <v>4</v>
      </c>
      <c r="B67" t="s">
        <v>8</v>
      </c>
      <c r="C67">
        <v>30.07</v>
      </c>
      <c r="D67">
        <v>244.16669999999999</v>
      </c>
      <c r="E67">
        <v>0.52792090000000003</v>
      </c>
      <c r="F67">
        <v>7.9299999999999995E-2</v>
      </c>
      <c r="G67">
        <v>0</v>
      </c>
      <c r="H67">
        <v>0</v>
      </c>
      <c r="I67">
        <v>0</v>
      </c>
      <c r="J67">
        <v>0</v>
      </c>
      <c r="L67">
        <f t="shared" ca="1" si="0"/>
        <v>0</v>
      </c>
      <c r="M67">
        <v>3.3000000000000002E-2</v>
      </c>
      <c r="N67">
        <v>4</v>
      </c>
    </row>
    <row r="68" spans="1:14" x14ac:dyDescent="0.2">
      <c r="A68">
        <v>5</v>
      </c>
      <c r="B68" t="s">
        <v>10</v>
      </c>
      <c r="C68">
        <v>44.097000000000001</v>
      </c>
      <c r="D68">
        <v>298.11829999999998</v>
      </c>
      <c r="E68">
        <v>0.58374899999999996</v>
      </c>
      <c r="F68">
        <v>0.141239</v>
      </c>
      <c r="G68">
        <v>0</v>
      </c>
      <c r="H68">
        <v>0</v>
      </c>
      <c r="I68">
        <v>0</v>
      </c>
      <c r="J68">
        <v>0</v>
      </c>
      <c r="L68">
        <f t="shared" ca="1" si="0"/>
        <v>0</v>
      </c>
      <c r="M68">
        <v>7.4000000000000003E-3</v>
      </c>
      <c r="N68">
        <v>5</v>
      </c>
    </row>
    <row r="69" spans="1:14" x14ac:dyDescent="0.2">
      <c r="A69">
        <v>6</v>
      </c>
      <c r="B69" t="s">
        <v>30</v>
      </c>
      <c r="C69">
        <v>18.0153</v>
      </c>
      <c r="D69">
        <v>514.01559999999995</v>
      </c>
      <c r="E69">
        <v>0.3825868</v>
      </c>
      <c r="F69">
        <v>0.33250000000000002</v>
      </c>
      <c r="G69">
        <v>1.06775</v>
      </c>
      <c r="H69">
        <v>0</v>
      </c>
      <c r="I69">
        <v>1.5822000000000001</v>
      </c>
      <c r="J69">
        <v>1</v>
      </c>
      <c r="L69">
        <f t="shared" ca="1" si="0"/>
        <v>1</v>
      </c>
      <c r="M69">
        <v>9.5000000000000001E-2</v>
      </c>
      <c r="N69">
        <v>8</v>
      </c>
    </row>
    <row r="70" spans="1:14" x14ac:dyDescent="0.2">
      <c r="A70">
        <v>7</v>
      </c>
      <c r="B70" t="s">
        <v>28</v>
      </c>
      <c r="C70">
        <v>34.082000000000001</v>
      </c>
      <c r="D70">
        <v>296.35500000000002</v>
      </c>
      <c r="E70">
        <v>0.46182630000000002</v>
      </c>
      <c r="F70">
        <v>8.8499999999999995E-2</v>
      </c>
      <c r="G70">
        <v>0.63327599999999995</v>
      </c>
      <c r="H70">
        <v>0</v>
      </c>
      <c r="I70">
        <v>0.39</v>
      </c>
      <c r="J70">
        <v>0</v>
      </c>
      <c r="L70">
        <f t="shared" ca="1" si="0"/>
        <v>0</v>
      </c>
      <c r="M70">
        <v>0.01</v>
      </c>
      <c r="N70">
        <v>9</v>
      </c>
    </row>
    <row r="71" spans="1:14" x14ac:dyDescent="0.2">
      <c r="A71">
        <v>8</v>
      </c>
      <c r="B71" t="s">
        <v>4</v>
      </c>
      <c r="C71">
        <v>2.0158999999999998</v>
      </c>
      <c r="D71">
        <v>26.957940000000001</v>
      </c>
      <c r="E71">
        <v>0.35149160000000002</v>
      </c>
      <c r="F71">
        <v>3.4368999999999997E-2</v>
      </c>
      <c r="G71">
        <v>0</v>
      </c>
      <c r="H71">
        <v>1</v>
      </c>
      <c r="I71">
        <v>0</v>
      </c>
      <c r="J71">
        <v>0</v>
      </c>
      <c r="L71">
        <f t="shared" ca="1" si="0"/>
        <v>0</v>
      </c>
      <c r="M71">
        <v>1.1999999999999999E-3</v>
      </c>
      <c r="N71">
        <v>11</v>
      </c>
    </row>
    <row r="72" spans="1:14" x14ac:dyDescent="0.2">
      <c r="A72">
        <v>9</v>
      </c>
      <c r="B72" t="s">
        <v>6</v>
      </c>
      <c r="C72">
        <v>28.01</v>
      </c>
      <c r="D72">
        <v>105.5348</v>
      </c>
      <c r="E72">
        <v>0.4533894</v>
      </c>
      <c r="F72">
        <v>3.8953000000000002E-2</v>
      </c>
      <c r="G72">
        <v>0</v>
      </c>
      <c r="H72">
        <v>0</v>
      </c>
      <c r="I72">
        <v>0</v>
      </c>
      <c r="J72">
        <v>0</v>
      </c>
      <c r="L72">
        <f t="shared" ca="1" si="0"/>
        <v>0</v>
      </c>
      <c r="M72">
        <v>1.1999999999999999E-3</v>
      </c>
      <c r="N72">
        <v>12</v>
      </c>
    </row>
    <row r="73" spans="1:14" x14ac:dyDescent="0.2">
      <c r="A73">
        <v>10</v>
      </c>
      <c r="B73" t="s">
        <v>27</v>
      </c>
      <c r="C73">
        <v>31.998799999999999</v>
      </c>
      <c r="D73">
        <v>122.7667</v>
      </c>
      <c r="E73">
        <v>0.4186954</v>
      </c>
      <c r="F73">
        <v>2.1000000000000001E-2</v>
      </c>
      <c r="G73">
        <v>0</v>
      </c>
      <c r="H73">
        <v>0</v>
      </c>
      <c r="I73">
        <v>0</v>
      </c>
      <c r="J73">
        <v>0</v>
      </c>
      <c r="L73">
        <f t="shared" ca="1" si="0"/>
        <v>0</v>
      </c>
      <c r="M73">
        <v>4.0000000000000002E-4</v>
      </c>
      <c r="N73">
        <v>13</v>
      </c>
    </row>
    <row r="74" spans="1:14" x14ac:dyDescent="0.2">
      <c r="A74">
        <v>11</v>
      </c>
      <c r="B74" t="s">
        <v>12</v>
      </c>
      <c r="C74">
        <v>58.122999999999998</v>
      </c>
      <c r="D74">
        <v>324.06889999999999</v>
      </c>
      <c r="E74">
        <v>0.64069370000000003</v>
      </c>
      <c r="F74">
        <v>0.25669199999999998</v>
      </c>
      <c r="G74">
        <v>0</v>
      </c>
      <c r="H74">
        <v>0</v>
      </c>
      <c r="I74">
        <v>0</v>
      </c>
      <c r="J74">
        <v>0</v>
      </c>
      <c r="L74">
        <f t="shared" ca="1" si="0"/>
        <v>0</v>
      </c>
      <c r="M74">
        <v>4.0000000000000002E-4</v>
      </c>
      <c r="N74">
        <v>14</v>
      </c>
    </row>
    <row r="75" spans="1:14" x14ac:dyDescent="0.2">
      <c r="A75">
        <v>12</v>
      </c>
      <c r="B75" t="s">
        <v>13</v>
      </c>
      <c r="C75">
        <v>58.122999999999998</v>
      </c>
      <c r="D75">
        <v>337.63889999999998</v>
      </c>
      <c r="E75">
        <v>0.63414230000000005</v>
      </c>
      <c r="F75">
        <v>0.281835</v>
      </c>
      <c r="G75">
        <v>0</v>
      </c>
      <c r="H75">
        <v>0</v>
      </c>
      <c r="I75">
        <v>0</v>
      </c>
      <c r="J75">
        <v>0</v>
      </c>
      <c r="L75">
        <f t="shared" ca="1" si="0"/>
        <v>0</v>
      </c>
      <c r="M75">
        <v>2.0000000000000001E-4</v>
      </c>
      <c r="N75">
        <v>15</v>
      </c>
    </row>
    <row r="76" spans="1:14" x14ac:dyDescent="0.2">
      <c r="A76">
        <v>13</v>
      </c>
      <c r="B76" t="s">
        <v>16</v>
      </c>
      <c r="C76">
        <v>72.150000000000006</v>
      </c>
      <c r="D76">
        <v>365.59989999999999</v>
      </c>
      <c r="E76">
        <v>0.6738577</v>
      </c>
      <c r="F76">
        <v>0.33226699999999998</v>
      </c>
      <c r="G76">
        <v>0</v>
      </c>
      <c r="H76">
        <v>0</v>
      </c>
      <c r="I76">
        <v>0</v>
      </c>
      <c r="J76">
        <v>0</v>
      </c>
      <c r="L76">
        <f t="shared" ca="1" si="0"/>
        <v>0</v>
      </c>
      <c r="M76">
        <v>1E-4</v>
      </c>
      <c r="N76">
        <v>16</v>
      </c>
    </row>
    <row r="77" spans="1:14" x14ac:dyDescent="0.2">
      <c r="A77">
        <v>14</v>
      </c>
      <c r="B77" t="s">
        <v>15</v>
      </c>
      <c r="C77">
        <v>72.150000000000006</v>
      </c>
      <c r="D77">
        <v>370.6823</v>
      </c>
      <c r="E77">
        <v>0.67983070000000001</v>
      </c>
      <c r="F77">
        <v>0.36691099999999999</v>
      </c>
      <c r="G77">
        <v>0</v>
      </c>
      <c r="H77">
        <v>0</v>
      </c>
      <c r="I77">
        <v>0</v>
      </c>
      <c r="J77">
        <v>0</v>
      </c>
      <c r="L77">
        <f t="shared" ca="1" si="0"/>
        <v>0</v>
      </c>
      <c r="M77">
        <v>1E-4</v>
      </c>
      <c r="N77">
        <v>17</v>
      </c>
    </row>
    <row r="78" spans="1:14" x14ac:dyDescent="0.2">
      <c r="A78">
        <v>15</v>
      </c>
      <c r="B78" t="s">
        <v>20</v>
      </c>
      <c r="C78">
        <v>86.177000000000007</v>
      </c>
      <c r="D78">
        <v>402.63629300000002</v>
      </c>
      <c r="E78">
        <v>0.71751180000000003</v>
      </c>
      <c r="F78">
        <v>0.28973100000000002</v>
      </c>
      <c r="G78">
        <v>0</v>
      </c>
      <c r="H78">
        <v>0</v>
      </c>
      <c r="I78">
        <v>0</v>
      </c>
      <c r="J78">
        <v>0</v>
      </c>
    </row>
    <row r="79" spans="1:14" x14ac:dyDescent="0.2">
      <c r="A79">
        <v>16</v>
      </c>
      <c r="B79" t="s">
        <v>21</v>
      </c>
      <c r="C79">
        <v>100.20399999999999</v>
      </c>
      <c r="D79">
        <v>427.72262999999998</v>
      </c>
      <c r="E79">
        <v>0.75251889999999999</v>
      </c>
      <c r="F79">
        <v>0.33754200000000001</v>
      </c>
      <c r="G79">
        <v>0</v>
      </c>
      <c r="H79">
        <v>0</v>
      </c>
      <c r="I79">
        <v>0</v>
      </c>
      <c r="J79">
        <v>0</v>
      </c>
    </row>
    <row r="80" spans="1:14" x14ac:dyDescent="0.2">
      <c r="A80">
        <v>17</v>
      </c>
      <c r="B80" t="s">
        <v>22</v>
      </c>
      <c r="C80">
        <v>114.23099999999999</v>
      </c>
      <c r="D80">
        <v>450.32502199999999</v>
      </c>
      <c r="E80">
        <v>0.78495499999999996</v>
      </c>
      <c r="F80">
        <v>0.38338100000000003</v>
      </c>
      <c r="G80">
        <v>0</v>
      </c>
      <c r="H80">
        <v>0</v>
      </c>
      <c r="I80">
        <v>0</v>
      </c>
      <c r="J80">
        <v>0</v>
      </c>
    </row>
    <row r="81" spans="1:10" x14ac:dyDescent="0.2">
      <c r="A81">
        <v>18</v>
      </c>
      <c r="B81" t="s">
        <v>23</v>
      </c>
      <c r="C81">
        <v>128.25800000000001</v>
      </c>
      <c r="D81">
        <v>470.840891</v>
      </c>
      <c r="E81">
        <v>0.81527309999999997</v>
      </c>
      <c r="F81">
        <v>0.42735400000000001</v>
      </c>
      <c r="G81">
        <v>0</v>
      </c>
      <c r="H81">
        <v>0</v>
      </c>
      <c r="I81">
        <v>0</v>
      </c>
      <c r="J81">
        <v>0</v>
      </c>
    </row>
    <row r="82" spans="1:10" x14ac:dyDescent="0.2">
      <c r="A82">
        <v>19</v>
      </c>
      <c r="B82" t="s">
        <v>24</v>
      </c>
      <c r="C82">
        <v>142.285</v>
      </c>
      <c r="D82">
        <v>489.55837300000002</v>
      </c>
      <c r="E82">
        <v>0.84378260000000005</v>
      </c>
      <c r="F82">
        <v>0.46965899999999999</v>
      </c>
      <c r="G82">
        <v>0</v>
      </c>
      <c r="H82">
        <v>0</v>
      </c>
      <c r="I82">
        <v>0</v>
      </c>
      <c r="J82">
        <v>0</v>
      </c>
    </row>
    <row r="83" spans="1:10" x14ac:dyDescent="0.2">
      <c r="A83">
        <v>20</v>
      </c>
      <c r="B83" t="s">
        <v>25</v>
      </c>
      <c r="C83">
        <v>4.0026000000000002</v>
      </c>
      <c r="D83">
        <v>2.6101109999999998</v>
      </c>
      <c r="E83">
        <v>0.3589888</v>
      </c>
      <c r="F83">
        <v>0</v>
      </c>
      <c r="G83">
        <v>0</v>
      </c>
      <c r="H83">
        <v>0</v>
      </c>
      <c r="I83">
        <v>0</v>
      </c>
      <c r="J83">
        <v>0</v>
      </c>
    </row>
    <row r="84" spans="1:10" x14ac:dyDescent="0.2">
      <c r="A84">
        <v>21</v>
      </c>
      <c r="B84" t="s">
        <v>26</v>
      </c>
      <c r="C84">
        <v>39.948</v>
      </c>
      <c r="D84">
        <v>119.62990000000001</v>
      </c>
      <c r="E84">
        <v>0.4216551</v>
      </c>
      <c r="F84">
        <v>0</v>
      </c>
      <c r="G84">
        <v>0</v>
      </c>
      <c r="H84">
        <v>0</v>
      </c>
      <c r="I84">
        <v>0</v>
      </c>
      <c r="J84">
        <v>0</v>
      </c>
    </row>
    <row r="86" spans="1:10" x14ac:dyDescent="0.2">
      <c r="A86" t="s">
        <v>73</v>
      </c>
    </row>
    <row r="87" spans="1:10" x14ac:dyDescent="0.2">
      <c r="A87" t="s">
        <v>74</v>
      </c>
      <c r="B87" t="s">
        <v>75</v>
      </c>
      <c r="C87" t="s">
        <v>76</v>
      </c>
      <c r="D87" t="s">
        <v>77</v>
      </c>
      <c r="E87" t="s">
        <v>78</v>
      </c>
      <c r="F87" t="s">
        <v>79</v>
      </c>
      <c r="G87" t="s">
        <v>80</v>
      </c>
      <c r="H87" t="s">
        <v>81</v>
      </c>
    </row>
    <row r="88" spans="1:10" s="4" customFormat="1" x14ac:dyDescent="0.2">
      <c r="A88" s="4">
        <v>1</v>
      </c>
      <c r="B88" s="4">
        <v>2</v>
      </c>
      <c r="C88" s="4" t="s">
        <v>7</v>
      </c>
      <c r="D88" s="4" t="s">
        <v>3</v>
      </c>
      <c r="E88" s="4">
        <v>0.97163999999999995</v>
      </c>
      <c r="F88" s="4">
        <v>0.88610599999999995</v>
      </c>
      <c r="G88" s="4">
        <v>1.00363</v>
      </c>
      <c r="H88" s="4">
        <v>1</v>
      </c>
    </row>
    <row r="89" spans="1:10" x14ac:dyDescent="0.2">
      <c r="A89">
        <v>1</v>
      </c>
      <c r="B89">
        <v>3</v>
      </c>
      <c r="C89" t="s">
        <v>7</v>
      </c>
      <c r="D89" t="s">
        <v>1</v>
      </c>
      <c r="E89">
        <v>0.96064400000000005</v>
      </c>
      <c r="F89">
        <v>0.96382699999999999</v>
      </c>
      <c r="G89">
        <v>0.99593299999999996</v>
      </c>
      <c r="H89">
        <v>0.80765299999999995</v>
      </c>
    </row>
    <row r="90" spans="1:10" x14ac:dyDescent="0.2">
      <c r="A90">
        <v>1</v>
      </c>
      <c r="B90">
        <v>4</v>
      </c>
      <c r="C90" t="s">
        <v>7</v>
      </c>
      <c r="D90" t="s">
        <v>8</v>
      </c>
      <c r="E90">
        <v>1</v>
      </c>
      <c r="F90">
        <v>1</v>
      </c>
      <c r="G90">
        <v>1</v>
      </c>
      <c r="H90">
        <v>1</v>
      </c>
    </row>
    <row r="91" spans="1:10" x14ac:dyDescent="0.2">
      <c r="A91">
        <v>1</v>
      </c>
      <c r="B91">
        <v>5</v>
      </c>
      <c r="C91" t="s">
        <v>7</v>
      </c>
      <c r="D91" t="s">
        <v>10</v>
      </c>
      <c r="E91">
        <v>0.99463500000000005</v>
      </c>
      <c r="F91">
        <v>0.99087700000000001</v>
      </c>
      <c r="G91">
        <v>1.007619</v>
      </c>
      <c r="H91">
        <v>1</v>
      </c>
    </row>
    <row r="92" spans="1:10" x14ac:dyDescent="0.2">
      <c r="A92">
        <v>1</v>
      </c>
      <c r="B92">
        <v>6</v>
      </c>
      <c r="C92" t="s">
        <v>7</v>
      </c>
      <c r="D92" t="s">
        <v>30</v>
      </c>
      <c r="E92">
        <v>0.70821800000000001</v>
      </c>
      <c r="F92">
        <v>1</v>
      </c>
      <c r="G92">
        <v>1</v>
      </c>
      <c r="H92">
        <v>1</v>
      </c>
    </row>
    <row r="93" spans="1:10" x14ac:dyDescent="0.2">
      <c r="A93">
        <v>1</v>
      </c>
      <c r="B93">
        <v>7</v>
      </c>
      <c r="C93" t="s">
        <v>7</v>
      </c>
      <c r="D93" t="s">
        <v>28</v>
      </c>
      <c r="E93">
        <v>0.93148399999999998</v>
      </c>
      <c r="F93">
        <v>0.73683299999999996</v>
      </c>
      <c r="G93">
        <v>1.0000800000000001</v>
      </c>
      <c r="H93">
        <v>1</v>
      </c>
    </row>
    <row r="94" spans="1:10" x14ac:dyDescent="0.2">
      <c r="A94">
        <v>1</v>
      </c>
      <c r="B94">
        <v>8</v>
      </c>
      <c r="C94" t="s">
        <v>7</v>
      </c>
      <c r="D94" t="s">
        <v>4</v>
      </c>
      <c r="E94">
        <v>1.17052</v>
      </c>
      <c r="F94">
        <v>1.15639</v>
      </c>
      <c r="G94">
        <v>1.0232600000000001</v>
      </c>
      <c r="H94">
        <v>1.9573100000000001</v>
      </c>
    </row>
    <row r="95" spans="1:10" x14ac:dyDescent="0.2">
      <c r="A95">
        <v>1</v>
      </c>
      <c r="B95">
        <v>9</v>
      </c>
      <c r="C95" t="s">
        <v>7</v>
      </c>
      <c r="D95" t="s">
        <v>6</v>
      </c>
      <c r="E95">
        <v>0.99012599999999995</v>
      </c>
      <c r="F95">
        <v>1</v>
      </c>
      <c r="G95">
        <v>1</v>
      </c>
      <c r="H95">
        <v>1</v>
      </c>
    </row>
    <row r="96" spans="1:10" x14ac:dyDescent="0.2">
      <c r="A96">
        <v>1</v>
      </c>
      <c r="B96">
        <v>10</v>
      </c>
      <c r="C96" t="s">
        <v>7</v>
      </c>
      <c r="D96" t="s">
        <v>27</v>
      </c>
      <c r="E96">
        <v>1</v>
      </c>
      <c r="F96">
        <v>1</v>
      </c>
      <c r="G96">
        <v>1</v>
      </c>
      <c r="H96">
        <v>1</v>
      </c>
    </row>
    <row r="97" spans="1:8" x14ac:dyDescent="0.2">
      <c r="A97">
        <v>1</v>
      </c>
      <c r="B97">
        <v>11</v>
      </c>
      <c r="C97" t="s">
        <v>7</v>
      </c>
      <c r="D97" t="s">
        <v>12</v>
      </c>
      <c r="E97">
        <v>1.01953</v>
      </c>
      <c r="F97">
        <v>1</v>
      </c>
      <c r="G97">
        <v>1</v>
      </c>
      <c r="H97">
        <v>1</v>
      </c>
    </row>
    <row r="98" spans="1:8" x14ac:dyDescent="0.2">
      <c r="A98">
        <v>1</v>
      </c>
      <c r="B98">
        <v>12</v>
      </c>
      <c r="C98" t="s">
        <v>7</v>
      </c>
      <c r="D98" t="s">
        <v>13</v>
      </c>
      <c r="E98">
        <v>0.98984399999999995</v>
      </c>
      <c r="F98">
        <v>0.99229100000000003</v>
      </c>
      <c r="G98">
        <v>0.99759600000000004</v>
      </c>
      <c r="H98">
        <v>1</v>
      </c>
    </row>
    <row r="99" spans="1:8" x14ac:dyDescent="0.2">
      <c r="A99">
        <v>1</v>
      </c>
      <c r="B99">
        <v>13</v>
      </c>
      <c r="C99" t="s">
        <v>7</v>
      </c>
      <c r="D99" t="s">
        <v>16</v>
      </c>
      <c r="E99">
        <v>1.0023500000000001</v>
      </c>
      <c r="F99">
        <v>1</v>
      </c>
      <c r="G99">
        <v>1</v>
      </c>
      <c r="H99">
        <v>1</v>
      </c>
    </row>
    <row r="100" spans="1:8" x14ac:dyDescent="0.2">
      <c r="A100">
        <v>1</v>
      </c>
      <c r="B100">
        <v>14</v>
      </c>
      <c r="C100" t="s">
        <v>7</v>
      </c>
      <c r="D100" t="s">
        <v>15</v>
      </c>
      <c r="E100">
        <v>0.99926800000000005</v>
      </c>
      <c r="F100">
        <v>1.0036700000000001</v>
      </c>
      <c r="G100">
        <v>1.002529</v>
      </c>
      <c r="H100">
        <v>1</v>
      </c>
    </row>
    <row r="101" spans="1:8" x14ac:dyDescent="0.2">
      <c r="A101">
        <v>1</v>
      </c>
      <c r="B101">
        <v>15</v>
      </c>
      <c r="C101" t="s">
        <v>7</v>
      </c>
      <c r="D101" t="s">
        <v>20</v>
      </c>
      <c r="E101">
        <v>1.1072740000000001</v>
      </c>
      <c r="F101">
        <v>1.302576</v>
      </c>
      <c r="G101">
        <v>0.982962</v>
      </c>
      <c r="H101">
        <v>1</v>
      </c>
    </row>
    <row r="102" spans="1:8" x14ac:dyDescent="0.2">
      <c r="A102">
        <v>1</v>
      </c>
      <c r="B102">
        <v>16</v>
      </c>
      <c r="C102" t="s">
        <v>7</v>
      </c>
      <c r="D102" t="s">
        <v>21</v>
      </c>
      <c r="E102">
        <v>0.88088</v>
      </c>
      <c r="F102">
        <v>1.1919040000000001</v>
      </c>
      <c r="G102">
        <v>0.98356500000000002</v>
      </c>
      <c r="H102">
        <v>1</v>
      </c>
    </row>
    <row r="103" spans="1:8" x14ac:dyDescent="0.2">
      <c r="A103">
        <v>1</v>
      </c>
      <c r="B103">
        <v>17</v>
      </c>
      <c r="C103" t="s">
        <v>7</v>
      </c>
      <c r="D103" t="s">
        <v>22</v>
      </c>
      <c r="E103">
        <v>0.88097300000000001</v>
      </c>
      <c r="F103">
        <v>1.2057690000000001</v>
      </c>
      <c r="G103">
        <v>0.982707</v>
      </c>
      <c r="H103">
        <v>1</v>
      </c>
    </row>
    <row r="104" spans="1:8" x14ac:dyDescent="0.2">
      <c r="A104">
        <v>1</v>
      </c>
      <c r="B104">
        <v>18</v>
      </c>
      <c r="C104" t="s">
        <v>7</v>
      </c>
      <c r="D104" t="s">
        <v>23</v>
      </c>
      <c r="E104">
        <v>0.88106700000000004</v>
      </c>
      <c r="F104">
        <v>1.2196340000000001</v>
      </c>
      <c r="G104">
        <v>0.98184899999999997</v>
      </c>
      <c r="H104">
        <v>1</v>
      </c>
    </row>
    <row r="105" spans="1:8" x14ac:dyDescent="0.2">
      <c r="A105">
        <v>1</v>
      </c>
      <c r="B105">
        <v>19</v>
      </c>
      <c r="C105" t="s">
        <v>7</v>
      </c>
      <c r="D105" t="s">
        <v>24</v>
      </c>
      <c r="E105">
        <v>0.88116099999999997</v>
      </c>
      <c r="F105">
        <v>1.233498</v>
      </c>
      <c r="G105">
        <v>0.98099099999999995</v>
      </c>
      <c r="H105">
        <v>1</v>
      </c>
    </row>
    <row r="106" spans="1:8" x14ac:dyDescent="0.2">
      <c r="A106">
        <v>1</v>
      </c>
      <c r="B106">
        <v>20</v>
      </c>
      <c r="C106" t="s">
        <v>7</v>
      </c>
      <c r="D106" t="s">
        <v>25</v>
      </c>
      <c r="E106">
        <v>1</v>
      </c>
      <c r="F106">
        <v>1</v>
      </c>
      <c r="G106">
        <v>1</v>
      </c>
      <c r="H106">
        <v>1</v>
      </c>
    </row>
    <row r="107" spans="1:8" x14ac:dyDescent="0.2">
      <c r="A107">
        <v>1</v>
      </c>
      <c r="B107">
        <v>21</v>
      </c>
      <c r="C107" t="s">
        <v>7</v>
      </c>
      <c r="D107" t="s">
        <v>26</v>
      </c>
      <c r="E107">
        <v>1</v>
      </c>
      <c r="F107">
        <v>1</v>
      </c>
      <c r="G107">
        <v>1</v>
      </c>
      <c r="H107">
        <v>1</v>
      </c>
    </row>
    <row r="108" spans="1:8" s="4" customFormat="1" x14ac:dyDescent="0.2">
      <c r="A108" s="4">
        <v>2</v>
      </c>
      <c r="B108" s="4">
        <v>3</v>
      </c>
      <c r="C108" s="4" t="s">
        <v>3</v>
      </c>
      <c r="D108" s="4" t="s">
        <v>1</v>
      </c>
      <c r="E108" s="4">
        <v>1.02274</v>
      </c>
      <c r="F108" s="4">
        <v>0.83505799999999997</v>
      </c>
      <c r="G108" s="4">
        <v>0.98236100000000004</v>
      </c>
      <c r="H108" s="4">
        <v>0.98274600000000001</v>
      </c>
    </row>
    <row r="109" spans="1:8" x14ac:dyDescent="0.2">
      <c r="A109">
        <v>2</v>
      </c>
      <c r="B109">
        <v>4</v>
      </c>
      <c r="C109" t="s">
        <v>3</v>
      </c>
      <c r="D109" t="s">
        <v>8</v>
      </c>
      <c r="E109">
        <v>0.97011999999999998</v>
      </c>
      <c r="F109">
        <v>0.81643100000000002</v>
      </c>
      <c r="G109">
        <v>1.00796</v>
      </c>
      <c r="H109">
        <v>1</v>
      </c>
    </row>
    <row r="110" spans="1:8" x14ac:dyDescent="0.2">
      <c r="A110">
        <v>2</v>
      </c>
      <c r="B110">
        <v>5</v>
      </c>
      <c r="C110" t="s">
        <v>3</v>
      </c>
      <c r="D110" t="s">
        <v>10</v>
      </c>
      <c r="E110">
        <v>0.94593899999999997</v>
      </c>
      <c r="F110">
        <v>0.91550200000000004</v>
      </c>
      <c r="G110">
        <v>1</v>
      </c>
      <c r="H110">
        <v>1</v>
      </c>
    </row>
    <row r="111" spans="1:8" x14ac:dyDescent="0.2">
      <c r="A111">
        <v>2</v>
      </c>
      <c r="B111">
        <v>6</v>
      </c>
      <c r="C111" t="s">
        <v>3</v>
      </c>
      <c r="D111" t="s">
        <v>30</v>
      </c>
      <c r="E111">
        <v>0.74695400000000001</v>
      </c>
      <c r="F111">
        <v>1</v>
      </c>
      <c r="G111">
        <v>1</v>
      </c>
      <c r="H111">
        <v>1</v>
      </c>
    </row>
    <row r="112" spans="1:8" x14ac:dyDescent="0.2">
      <c r="A112">
        <v>2</v>
      </c>
      <c r="B112">
        <v>7</v>
      </c>
      <c r="C112" t="s">
        <v>3</v>
      </c>
      <c r="D112" t="s">
        <v>28</v>
      </c>
      <c r="E112">
        <v>0.90227100000000005</v>
      </c>
      <c r="F112">
        <v>0.99347600000000003</v>
      </c>
      <c r="G112">
        <v>0.94259599999999999</v>
      </c>
      <c r="H112">
        <v>1</v>
      </c>
    </row>
    <row r="113" spans="1:8" x14ac:dyDescent="0.2">
      <c r="A113">
        <v>2</v>
      </c>
      <c r="B113">
        <v>8</v>
      </c>
      <c r="C113" t="s">
        <v>3</v>
      </c>
      <c r="D113" t="s">
        <v>4</v>
      </c>
      <c r="E113">
        <v>1.08632</v>
      </c>
      <c r="F113">
        <v>0.40883799999999998</v>
      </c>
      <c r="G113">
        <v>1.03227</v>
      </c>
      <c r="H113">
        <v>1</v>
      </c>
    </row>
    <row r="114" spans="1:8" x14ac:dyDescent="0.2">
      <c r="A114">
        <v>2</v>
      </c>
      <c r="B114">
        <v>9</v>
      </c>
      <c r="C114" t="s">
        <v>3</v>
      </c>
      <c r="D114" t="s">
        <v>6</v>
      </c>
      <c r="E114">
        <v>1.0057100000000001</v>
      </c>
      <c r="F114">
        <v>1</v>
      </c>
      <c r="G114">
        <v>1</v>
      </c>
      <c r="H114">
        <v>1</v>
      </c>
    </row>
    <row r="115" spans="1:8" x14ac:dyDescent="0.2">
      <c r="A115">
        <v>2</v>
      </c>
      <c r="B115">
        <v>10</v>
      </c>
      <c r="C115" t="s">
        <v>3</v>
      </c>
      <c r="D115" t="s">
        <v>27</v>
      </c>
      <c r="E115">
        <v>1.0209999999999999</v>
      </c>
      <c r="F115">
        <v>1</v>
      </c>
      <c r="G115">
        <v>1</v>
      </c>
      <c r="H115">
        <v>1</v>
      </c>
    </row>
    <row r="116" spans="1:8" x14ac:dyDescent="0.2">
      <c r="A116">
        <v>2</v>
      </c>
      <c r="B116">
        <v>11</v>
      </c>
      <c r="C116" t="s">
        <v>3</v>
      </c>
      <c r="D116" t="s">
        <v>12</v>
      </c>
      <c r="E116">
        <v>0.94691400000000003</v>
      </c>
      <c r="F116">
        <v>1</v>
      </c>
      <c r="G116">
        <v>1</v>
      </c>
      <c r="H116">
        <v>1</v>
      </c>
    </row>
    <row r="117" spans="1:8" x14ac:dyDescent="0.2">
      <c r="A117">
        <v>2</v>
      </c>
      <c r="B117">
        <v>12</v>
      </c>
      <c r="C117" t="s">
        <v>3</v>
      </c>
      <c r="D117" t="s">
        <v>13</v>
      </c>
      <c r="E117">
        <v>0.97338400000000003</v>
      </c>
      <c r="F117">
        <v>0.99355599999999999</v>
      </c>
      <c r="G117">
        <v>1</v>
      </c>
      <c r="H117">
        <v>1</v>
      </c>
    </row>
    <row r="118" spans="1:8" x14ac:dyDescent="0.2">
      <c r="A118">
        <v>2</v>
      </c>
      <c r="B118">
        <v>13</v>
      </c>
      <c r="C118" t="s">
        <v>3</v>
      </c>
      <c r="D118" t="s">
        <v>16</v>
      </c>
      <c r="E118">
        <v>0.95933999999999997</v>
      </c>
      <c r="F118">
        <v>1</v>
      </c>
      <c r="G118">
        <v>1</v>
      </c>
      <c r="H118">
        <v>1</v>
      </c>
    </row>
    <row r="119" spans="1:8" x14ac:dyDescent="0.2">
      <c r="A119">
        <v>2</v>
      </c>
      <c r="B119">
        <v>14</v>
      </c>
      <c r="C119" t="s">
        <v>3</v>
      </c>
      <c r="D119" t="s">
        <v>15</v>
      </c>
      <c r="E119">
        <v>0.94552000000000003</v>
      </c>
      <c r="F119">
        <v>1</v>
      </c>
      <c r="G119">
        <v>1</v>
      </c>
      <c r="H119">
        <v>1</v>
      </c>
    </row>
    <row r="120" spans="1:8" x14ac:dyDescent="0.2">
      <c r="A120">
        <v>2</v>
      </c>
      <c r="B120">
        <v>15</v>
      </c>
      <c r="C120" t="s">
        <v>3</v>
      </c>
      <c r="D120" t="s">
        <v>20</v>
      </c>
      <c r="E120">
        <v>1</v>
      </c>
      <c r="F120">
        <v>1</v>
      </c>
      <c r="G120">
        <v>1</v>
      </c>
      <c r="H120">
        <v>1</v>
      </c>
    </row>
    <row r="121" spans="1:8" x14ac:dyDescent="0.2">
      <c r="A121">
        <v>2</v>
      </c>
      <c r="B121">
        <v>16</v>
      </c>
      <c r="C121" t="s">
        <v>3</v>
      </c>
      <c r="D121" t="s">
        <v>21</v>
      </c>
      <c r="E121">
        <v>1</v>
      </c>
      <c r="F121">
        <v>1</v>
      </c>
      <c r="G121">
        <v>1</v>
      </c>
      <c r="H121">
        <v>1</v>
      </c>
    </row>
    <row r="122" spans="1:8" x14ac:dyDescent="0.2">
      <c r="A122">
        <v>2</v>
      </c>
      <c r="B122">
        <v>17</v>
      </c>
      <c r="C122" t="s">
        <v>3</v>
      </c>
      <c r="D122" t="s">
        <v>22</v>
      </c>
      <c r="E122">
        <v>1</v>
      </c>
      <c r="F122">
        <v>1</v>
      </c>
      <c r="G122">
        <v>1</v>
      </c>
      <c r="H122">
        <v>1</v>
      </c>
    </row>
    <row r="123" spans="1:8" x14ac:dyDescent="0.2">
      <c r="A123">
        <v>2</v>
      </c>
      <c r="B123">
        <v>18</v>
      </c>
      <c r="C123" t="s">
        <v>3</v>
      </c>
      <c r="D123" t="s">
        <v>23</v>
      </c>
      <c r="E123">
        <v>1</v>
      </c>
      <c r="F123">
        <v>1</v>
      </c>
      <c r="G123">
        <v>1</v>
      </c>
      <c r="H123">
        <v>1</v>
      </c>
    </row>
    <row r="124" spans="1:8" x14ac:dyDescent="0.2">
      <c r="A124">
        <v>2</v>
      </c>
      <c r="B124">
        <v>19</v>
      </c>
      <c r="C124" t="s">
        <v>3</v>
      </c>
      <c r="D124" t="s">
        <v>24</v>
      </c>
      <c r="E124">
        <v>1</v>
      </c>
      <c r="F124">
        <v>1</v>
      </c>
      <c r="G124">
        <v>1</v>
      </c>
      <c r="H124">
        <v>1</v>
      </c>
    </row>
    <row r="125" spans="1:8" x14ac:dyDescent="0.2">
      <c r="A125">
        <v>2</v>
      </c>
      <c r="B125">
        <v>20</v>
      </c>
      <c r="C125" t="s">
        <v>3</v>
      </c>
      <c r="D125" t="s">
        <v>25</v>
      </c>
      <c r="E125">
        <v>1</v>
      </c>
      <c r="F125">
        <v>1</v>
      </c>
      <c r="G125">
        <v>1</v>
      </c>
      <c r="H125">
        <v>1</v>
      </c>
    </row>
    <row r="126" spans="1:8" x14ac:dyDescent="0.2">
      <c r="A126">
        <v>2</v>
      </c>
      <c r="B126">
        <v>21</v>
      </c>
      <c r="C126" t="s">
        <v>3</v>
      </c>
      <c r="D126" t="s">
        <v>26</v>
      </c>
      <c r="E126">
        <v>1</v>
      </c>
      <c r="F126">
        <v>1</v>
      </c>
      <c r="G126">
        <v>1</v>
      </c>
      <c r="H126">
        <v>1</v>
      </c>
    </row>
    <row r="127" spans="1:8" s="4" customFormat="1" x14ac:dyDescent="0.2">
      <c r="A127" s="4">
        <v>3</v>
      </c>
      <c r="B127" s="4">
        <v>4</v>
      </c>
      <c r="C127" s="4" t="s">
        <v>2</v>
      </c>
      <c r="D127" s="4" t="s">
        <v>8</v>
      </c>
      <c r="E127" s="4">
        <v>0.92505300000000001</v>
      </c>
      <c r="F127" s="4">
        <v>0.96987000000000001</v>
      </c>
      <c r="G127" s="4">
        <v>1.00851</v>
      </c>
      <c r="H127" s="4">
        <v>0.37029600000000001</v>
      </c>
    </row>
    <row r="128" spans="1:8" x14ac:dyDescent="0.2">
      <c r="A128">
        <v>3</v>
      </c>
      <c r="B128">
        <v>5</v>
      </c>
      <c r="C128" t="s">
        <v>2</v>
      </c>
      <c r="D128" t="s">
        <v>10</v>
      </c>
      <c r="E128">
        <v>0.96023700000000001</v>
      </c>
      <c r="F128">
        <v>1</v>
      </c>
      <c r="G128">
        <v>1</v>
      </c>
      <c r="H128">
        <v>1</v>
      </c>
    </row>
    <row r="129" spans="1:8" x14ac:dyDescent="0.2">
      <c r="A129">
        <v>3</v>
      </c>
      <c r="B129">
        <v>6</v>
      </c>
      <c r="C129" t="s">
        <v>2</v>
      </c>
      <c r="D129" t="s">
        <v>30</v>
      </c>
      <c r="E129">
        <v>0.84940800000000005</v>
      </c>
      <c r="F129">
        <v>1</v>
      </c>
      <c r="G129">
        <v>1</v>
      </c>
      <c r="H129">
        <v>1.67309</v>
      </c>
    </row>
    <row r="130" spans="1:8" x14ac:dyDescent="0.2">
      <c r="A130">
        <v>3</v>
      </c>
      <c r="B130">
        <v>7</v>
      </c>
      <c r="C130" t="s">
        <v>2</v>
      </c>
      <c r="D130" t="s">
        <v>28</v>
      </c>
      <c r="E130">
        <v>0.95505200000000001</v>
      </c>
      <c r="F130">
        <v>1.0452900000000001</v>
      </c>
      <c r="G130">
        <v>1.00779</v>
      </c>
      <c r="H130">
        <v>1</v>
      </c>
    </row>
    <row r="131" spans="1:8" x14ac:dyDescent="0.2">
      <c r="A131">
        <v>3</v>
      </c>
      <c r="B131">
        <v>8</v>
      </c>
      <c r="C131" t="s">
        <v>2</v>
      </c>
      <c r="D131" t="s">
        <v>4</v>
      </c>
      <c r="E131">
        <v>1.28179</v>
      </c>
      <c r="F131">
        <v>1</v>
      </c>
      <c r="G131">
        <v>1</v>
      </c>
      <c r="H131">
        <v>1</v>
      </c>
    </row>
    <row r="132" spans="1:8" x14ac:dyDescent="0.2">
      <c r="A132">
        <v>3</v>
      </c>
      <c r="B132">
        <v>9</v>
      </c>
      <c r="C132" t="s">
        <v>2</v>
      </c>
      <c r="D132" t="s">
        <v>6</v>
      </c>
      <c r="E132">
        <v>1.5</v>
      </c>
      <c r="F132">
        <v>0.9</v>
      </c>
      <c r="G132">
        <v>1</v>
      </c>
      <c r="H132">
        <v>1</v>
      </c>
    </row>
    <row r="133" spans="1:8" x14ac:dyDescent="0.2">
      <c r="A133">
        <v>3</v>
      </c>
      <c r="B133">
        <v>10</v>
      </c>
      <c r="C133" t="s">
        <v>2</v>
      </c>
      <c r="D133" t="s">
        <v>27</v>
      </c>
      <c r="E133">
        <v>1</v>
      </c>
      <c r="F133">
        <v>1</v>
      </c>
      <c r="G133">
        <v>1</v>
      </c>
      <c r="H133">
        <v>1</v>
      </c>
    </row>
    <row r="134" spans="1:8" x14ac:dyDescent="0.2">
      <c r="A134">
        <v>3</v>
      </c>
      <c r="B134">
        <v>11</v>
      </c>
      <c r="C134" t="s">
        <v>2</v>
      </c>
      <c r="D134" t="s">
        <v>12</v>
      </c>
      <c r="E134">
        <v>0.90684900000000002</v>
      </c>
      <c r="F134">
        <v>1</v>
      </c>
      <c r="G134">
        <v>1</v>
      </c>
      <c r="H134">
        <v>1</v>
      </c>
    </row>
    <row r="135" spans="1:8" x14ac:dyDescent="0.2">
      <c r="A135">
        <v>3</v>
      </c>
      <c r="B135">
        <v>12</v>
      </c>
      <c r="C135" t="s">
        <v>2</v>
      </c>
      <c r="D135" t="s">
        <v>13</v>
      </c>
      <c r="E135">
        <v>0.89736199999999999</v>
      </c>
      <c r="F135">
        <v>1</v>
      </c>
      <c r="G135">
        <v>1</v>
      </c>
      <c r="H135">
        <v>1</v>
      </c>
    </row>
    <row r="136" spans="1:8" x14ac:dyDescent="0.2">
      <c r="A136">
        <v>3</v>
      </c>
      <c r="B136">
        <v>13</v>
      </c>
      <c r="C136" t="s">
        <v>2</v>
      </c>
      <c r="D136" t="s">
        <v>16</v>
      </c>
      <c r="E136">
        <v>0.72625499999999998</v>
      </c>
      <c r="F136">
        <v>1</v>
      </c>
      <c r="G136">
        <v>1</v>
      </c>
      <c r="H136">
        <v>1</v>
      </c>
    </row>
    <row r="137" spans="1:8" x14ac:dyDescent="0.2">
      <c r="A137">
        <v>3</v>
      </c>
      <c r="B137">
        <v>14</v>
      </c>
      <c r="C137" t="s">
        <v>2</v>
      </c>
      <c r="D137" t="s">
        <v>15</v>
      </c>
      <c r="E137">
        <v>0.85976399999999997</v>
      </c>
      <c r="F137">
        <v>1</v>
      </c>
      <c r="G137">
        <v>1</v>
      </c>
      <c r="H137">
        <v>1</v>
      </c>
    </row>
    <row r="138" spans="1:8" x14ac:dyDescent="0.2">
      <c r="A138">
        <v>3</v>
      </c>
      <c r="B138">
        <v>15</v>
      </c>
      <c r="C138" t="s">
        <v>2</v>
      </c>
      <c r="D138" t="s">
        <v>20</v>
      </c>
      <c r="E138">
        <v>0.85513399999999995</v>
      </c>
      <c r="F138">
        <v>1.066638</v>
      </c>
      <c r="G138">
        <v>0.91018299999999996</v>
      </c>
      <c r="H138">
        <v>1</v>
      </c>
    </row>
    <row r="139" spans="1:8" x14ac:dyDescent="0.2">
      <c r="A139">
        <v>3</v>
      </c>
      <c r="B139">
        <v>16</v>
      </c>
      <c r="C139" t="s">
        <v>2</v>
      </c>
      <c r="D139" t="s">
        <v>21</v>
      </c>
      <c r="E139">
        <v>0.831229</v>
      </c>
      <c r="F139">
        <v>1.077634</v>
      </c>
      <c r="G139">
        <v>0.89536199999999999</v>
      </c>
      <c r="H139">
        <v>1</v>
      </c>
    </row>
    <row r="140" spans="1:8" x14ac:dyDescent="0.2">
      <c r="A140">
        <v>3</v>
      </c>
      <c r="B140">
        <v>17</v>
      </c>
      <c r="C140" t="s">
        <v>2</v>
      </c>
      <c r="D140" t="s">
        <v>22</v>
      </c>
      <c r="E140">
        <v>0.80830999999999997</v>
      </c>
      <c r="F140">
        <v>1.0881780000000001</v>
      </c>
      <c r="G140">
        <v>0.88115200000000005</v>
      </c>
      <c r="H140">
        <v>1</v>
      </c>
    </row>
    <row r="141" spans="1:8" x14ac:dyDescent="0.2">
      <c r="A141">
        <v>3</v>
      </c>
      <c r="B141">
        <v>18</v>
      </c>
      <c r="C141" t="s">
        <v>2</v>
      </c>
      <c r="D141" t="s">
        <v>23</v>
      </c>
      <c r="E141">
        <v>0.78632299999999999</v>
      </c>
      <c r="F141">
        <v>1.0982909999999999</v>
      </c>
      <c r="G141">
        <v>0.86751999999999996</v>
      </c>
      <c r="H141">
        <v>1</v>
      </c>
    </row>
    <row r="142" spans="1:8" x14ac:dyDescent="0.2">
      <c r="A142">
        <v>3</v>
      </c>
      <c r="B142">
        <v>19</v>
      </c>
      <c r="C142" t="s">
        <v>2</v>
      </c>
      <c r="D142" t="s">
        <v>24</v>
      </c>
      <c r="E142">
        <v>0.76517100000000005</v>
      </c>
      <c r="F142" s="5">
        <v>1.1080209999999999</v>
      </c>
      <c r="G142">
        <v>0.854406</v>
      </c>
      <c r="H142">
        <v>1</v>
      </c>
    </row>
    <row r="143" spans="1:8" x14ac:dyDescent="0.2">
      <c r="A143">
        <v>3</v>
      </c>
      <c r="B143">
        <v>20</v>
      </c>
      <c r="C143" t="s">
        <v>2</v>
      </c>
      <c r="D143" t="s">
        <v>25</v>
      </c>
      <c r="E143">
        <v>1</v>
      </c>
      <c r="F143">
        <v>1</v>
      </c>
      <c r="G143">
        <v>1</v>
      </c>
      <c r="H143">
        <v>1</v>
      </c>
    </row>
    <row r="144" spans="1:8" x14ac:dyDescent="0.2">
      <c r="A144">
        <v>3</v>
      </c>
      <c r="B144">
        <v>21</v>
      </c>
      <c r="C144" t="s">
        <v>2</v>
      </c>
      <c r="D144" t="s">
        <v>26</v>
      </c>
      <c r="E144">
        <v>1</v>
      </c>
      <c r="F144">
        <v>1</v>
      </c>
      <c r="G144">
        <v>1</v>
      </c>
      <c r="H144">
        <v>1</v>
      </c>
    </row>
    <row r="145" spans="1:8" s="4" customFormat="1" x14ac:dyDescent="0.2">
      <c r="A145" s="4">
        <v>4</v>
      </c>
      <c r="B145" s="4">
        <v>5</v>
      </c>
      <c r="C145" s="4" t="s">
        <v>9</v>
      </c>
      <c r="D145" s="4" t="s">
        <v>10</v>
      </c>
      <c r="E145" s="4">
        <v>1.0225599999999999</v>
      </c>
      <c r="F145" s="4">
        <v>1.0651729999999999</v>
      </c>
      <c r="G145" s="4">
        <v>0.98689300000000002</v>
      </c>
      <c r="H145" s="4">
        <v>1</v>
      </c>
    </row>
    <row r="146" spans="1:8" x14ac:dyDescent="0.2">
      <c r="A146">
        <v>4</v>
      </c>
      <c r="B146">
        <v>6</v>
      </c>
      <c r="C146" t="s">
        <v>9</v>
      </c>
      <c r="D146" t="s">
        <v>30</v>
      </c>
      <c r="E146">
        <v>0.69316800000000001</v>
      </c>
      <c r="F146">
        <v>1</v>
      </c>
      <c r="G146">
        <v>1</v>
      </c>
      <c r="H146">
        <v>1</v>
      </c>
    </row>
    <row r="147" spans="1:8" x14ac:dyDescent="0.2">
      <c r="A147">
        <v>4</v>
      </c>
      <c r="B147">
        <v>7</v>
      </c>
      <c r="C147" t="s">
        <v>9</v>
      </c>
      <c r="D147" t="s">
        <v>28</v>
      </c>
      <c r="E147">
        <v>0.94687100000000002</v>
      </c>
      <c r="F147">
        <v>0.97192599999999996</v>
      </c>
      <c r="G147">
        <v>0.999969</v>
      </c>
      <c r="H147">
        <v>1</v>
      </c>
    </row>
    <row r="148" spans="1:8" x14ac:dyDescent="0.2">
      <c r="A148">
        <v>4</v>
      </c>
      <c r="B148">
        <v>8</v>
      </c>
      <c r="C148" t="s">
        <v>9</v>
      </c>
      <c r="D148" t="s">
        <v>4</v>
      </c>
      <c r="E148">
        <v>1.1644600000000001</v>
      </c>
      <c r="F148">
        <v>1.61666</v>
      </c>
      <c r="G148">
        <v>1.02034</v>
      </c>
      <c r="H148">
        <v>1</v>
      </c>
    </row>
    <row r="149" spans="1:8" x14ac:dyDescent="0.2">
      <c r="A149">
        <v>4</v>
      </c>
      <c r="B149">
        <v>9</v>
      </c>
      <c r="C149" t="s">
        <v>9</v>
      </c>
      <c r="D149" t="s">
        <v>6</v>
      </c>
      <c r="E149">
        <v>1</v>
      </c>
      <c r="F149">
        <v>1</v>
      </c>
      <c r="G149">
        <v>1</v>
      </c>
      <c r="H149">
        <v>1</v>
      </c>
    </row>
    <row r="150" spans="1:8" x14ac:dyDescent="0.2">
      <c r="A150">
        <v>4</v>
      </c>
      <c r="B150">
        <v>10</v>
      </c>
      <c r="C150" t="s">
        <v>9</v>
      </c>
      <c r="D150" t="s">
        <v>27</v>
      </c>
      <c r="E150">
        <v>1</v>
      </c>
      <c r="F150">
        <v>1</v>
      </c>
      <c r="G150">
        <v>1</v>
      </c>
      <c r="H150">
        <v>1</v>
      </c>
    </row>
    <row r="151" spans="1:8" x14ac:dyDescent="0.2">
      <c r="A151">
        <v>4</v>
      </c>
      <c r="B151">
        <v>11</v>
      </c>
      <c r="C151" t="s">
        <v>9</v>
      </c>
      <c r="D151" t="s">
        <v>12</v>
      </c>
      <c r="E151">
        <v>1</v>
      </c>
      <c r="F151">
        <v>1.25</v>
      </c>
      <c r="G151">
        <v>1</v>
      </c>
      <c r="H151">
        <v>1</v>
      </c>
    </row>
    <row r="152" spans="1:8" x14ac:dyDescent="0.2">
      <c r="A152">
        <v>4</v>
      </c>
      <c r="B152">
        <v>12</v>
      </c>
      <c r="C152" t="s">
        <v>9</v>
      </c>
      <c r="D152" t="s">
        <v>13</v>
      </c>
      <c r="E152">
        <v>1.0130600000000001</v>
      </c>
      <c r="F152">
        <v>1.25</v>
      </c>
      <c r="G152">
        <v>1</v>
      </c>
      <c r="H152">
        <v>1</v>
      </c>
    </row>
    <row r="153" spans="1:8" x14ac:dyDescent="0.2">
      <c r="A153">
        <v>4</v>
      </c>
      <c r="B153">
        <v>13</v>
      </c>
      <c r="C153" t="s">
        <v>9</v>
      </c>
      <c r="D153" t="s">
        <v>16</v>
      </c>
      <c r="E153">
        <v>1</v>
      </c>
      <c r="F153">
        <v>1.25</v>
      </c>
      <c r="G153">
        <v>1</v>
      </c>
      <c r="H153">
        <v>1</v>
      </c>
    </row>
    <row r="154" spans="1:8" x14ac:dyDescent="0.2">
      <c r="A154">
        <v>4</v>
      </c>
      <c r="B154">
        <v>14</v>
      </c>
      <c r="C154" t="s">
        <v>9</v>
      </c>
      <c r="D154" t="s">
        <v>15</v>
      </c>
      <c r="E154">
        <v>1.00532</v>
      </c>
      <c r="F154">
        <v>1.25</v>
      </c>
      <c r="G154">
        <v>1</v>
      </c>
      <c r="H154">
        <v>1</v>
      </c>
    </row>
    <row r="155" spans="1:8" x14ac:dyDescent="0.2">
      <c r="A155">
        <v>4</v>
      </c>
      <c r="B155">
        <v>15</v>
      </c>
      <c r="C155" t="s">
        <v>9</v>
      </c>
      <c r="D155" t="s">
        <v>20</v>
      </c>
      <c r="E155">
        <v>1</v>
      </c>
      <c r="F155">
        <v>1</v>
      </c>
      <c r="G155">
        <v>1</v>
      </c>
      <c r="H155">
        <v>1</v>
      </c>
    </row>
    <row r="156" spans="1:8" x14ac:dyDescent="0.2">
      <c r="A156">
        <v>4</v>
      </c>
      <c r="B156">
        <v>16</v>
      </c>
      <c r="C156" t="s">
        <v>9</v>
      </c>
      <c r="D156" t="s">
        <v>21</v>
      </c>
      <c r="E156">
        <v>1</v>
      </c>
      <c r="F156">
        <v>1</v>
      </c>
      <c r="G156">
        <v>1</v>
      </c>
      <c r="H156">
        <v>1</v>
      </c>
    </row>
    <row r="157" spans="1:8" x14ac:dyDescent="0.2">
      <c r="A157">
        <v>4</v>
      </c>
      <c r="B157">
        <v>17</v>
      </c>
      <c r="C157" t="s">
        <v>9</v>
      </c>
      <c r="D157" t="s">
        <v>22</v>
      </c>
      <c r="E157">
        <v>1</v>
      </c>
      <c r="F157">
        <v>1</v>
      </c>
      <c r="G157">
        <v>1</v>
      </c>
      <c r="H157">
        <v>1</v>
      </c>
    </row>
    <row r="158" spans="1:8" x14ac:dyDescent="0.2">
      <c r="A158">
        <v>4</v>
      </c>
      <c r="B158">
        <v>18</v>
      </c>
      <c r="C158" t="s">
        <v>9</v>
      </c>
      <c r="D158" t="s">
        <v>23</v>
      </c>
      <c r="E158">
        <v>1</v>
      </c>
      <c r="F158">
        <v>1</v>
      </c>
      <c r="G158">
        <v>1</v>
      </c>
      <c r="H158">
        <v>1</v>
      </c>
    </row>
    <row r="159" spans="1:8" x14ac:dyDescent="0.2">
      <c r="A159">
        <v>4</v>
      </c>
      <c r="B159">
        <v>19</v>
      </c>
      <c r="C159" t="s">
        <v>9</v>
      </c>
      <c r="D159" t="s">
        <v>24</v>
      </c>
      <c r="E159">
        <v>1</v>
      </c>
      <c r="F159">
        <v>1</v>
      </c>
      <c r="G159">
        <v>1</v>
      </c>
      <c r="H159">
        <v>1</v>
      </c>
    </row>
    <row r="160" spans="1:8" x14ac:dyDescent="0.2">
      <c r="A160">
        <v>4</v>
      </c>
      <c r="B160">
        <v>20</v>
      </c>
      <c r="C160" t="s">
        <v>9</v>
      </c>
      <c r="D160" t="s">
        <v>25</v>
      </c>
      <c r="E160">
        <v>1</v>
      </c>
      <c r="F160">
        <v>1</v>
      </c>
      <c r="G160">
        <v>1</v>
      </c>
      <c r="H160">
        <v>1</v>
      </c>
    </row>
    <row r="161" spans="1:8" x14ac:dyDescent="0.2">
      <c r="A161">
        <v>4</v>
      </c>
      <c r="B161">
        <v>21</v>
      </c>
      <c r="C161" t="s">
        <v>9</v>
      </c>
      <c r="D161" t="s">
        <v>26</v>
      </c>
      <c r="E161">
        <v>1</v>
      </c>
      <c r="F161">
        <v>1</v>
      </c>
      <c r="G161">
        <v>1</v>
      </c>
      <c r="H161">
        <v>1</v>
      </c>
    </row>
    <row r="162" spans="1:8" s="4" customFormat="1" x14ac:dyDescent="0.2">
      <c r="A162" s="4">
        <v>5</v>
      </c>
      <c r="B162" s="4">
        <v>6</v>
      </c>
      <c r="C162" s="4" t="s">
        <v>10</v>
      </c>
      <c r="D162" s="4" t="s">
        <v>30</v>
      </c>
      <c r="E162" s="4">
        <v>1</v>
      </c>
      <c r="F162" s="4">
        <v>1</v>
      </c>
      <c r="G162" s="4">
        <v>1</v>
      </c>
      <c r="H162" s="4">
        <v>1</v>
      </c>
    </row>
    <row r="163" spans="1:8" x14ac:dyDescent="0.2">
      <c r="A163">
        <v>5</v>
      </c>
      <c r="B163">
        <v>7</v>
      </c>
      <c r="C163" t="s">
        <v>11</v>
      </c>
      <c r="D163" t="s">
        <v>28</v>
      </c>
      <c r="E163">
        <v>1</v>
      </c>
      <c r="F163">
        <v>1</v>
      </c>
      <c r="G163">
        <v>1</v>
      </c>
      <c r="H163">
        <v>1</v>
      </c>
    </row>
    <row r="164" spans="1:8" x14ac:dyDescent="0.2">
      <c r="A164">
        <v>5</v>
      </c>
      <c r="B164">
        <v>8</v>
      </c>
      <c r="C164" t="s">
        <v>11</v>
      </c>
      <c r="D164" t="s">
        <v>4</v>
      </c>
      <c r="E164">
        <v>1.0347869999999999</v>
      </c>
      <c r="F164">
        <v>1</v>
      </c>
      <c r="G164">
        <v>1</v>
      </c>
      <c r="H164">
        <v>1</v>
      </c>
    </row>
    <row r="165" spans="1:8" x14ac:dyDescent="0.2">
      <c r="A165">
        <v>5</v>
      </c>
      <c r="B165">
        <v>9</v>
      </c>
      <c r="C165" t="s">
        <v>11</v>
      </c>
      <c r="D165" t="s">
        <v>6</v>
      </c>
      <c r="E165">
        <v>1</v>
      </c>
      <c r="F165">
        <v>1</v>
      </c>
      <c r="G165">
        <v>1</v>
      </c>
      <c r="H165">
        <v>1</v>
      </c>
    </row>
    <row r="166" spans="1:8" x14ac:dyDescent="0.2">
      <c r="A166">
        <v>5</v>
      </c>
      <c r="B166">
        <v>10</v>
      </c>
      <c r="C166" t="s">
        <v>11</v>
      </c>
      <c r="D166" t="s">
        <v>27</v>
      </c>
      <c r="E166">
        <v>1</v>
      </c>
      <c r="F166">
        <v>1</v>
      </c>
      <c r="G166">
        <v>1</v>
      </c>
      <c r="H166">
        <v>1</v>
      </c>
    </row>
    <row r="167" spans="1:8" x14ac:dyDescent="0.2">
      <c r="A167">
        <v>5</v>
      </c>
      <c r="B167">
        <v>11</v>
      </c>
      <c r="C167" t="s">
        <v>11</v>
      </c>
      <c r="D167" t="s">
        <v>12</v>
      </c>
      <c r="E167">
        <v>1</v>
      </c>
      <c r="F167">
        <v>1</v>
      </c>
      <c r="G167">
        <v>1</v>
      </c>
      <c r="H167">
        <v>1</v>
      </c>
    </row>
    <row r="168" spans="1:8" x14ac:dyDescent="0.2">
      <c r="A168">
        <v>5</v>
      </c>
      <c r="B168">
        <v>12</v>
      </c>
      <c r="C168" t="s">
        <v>11</v>
      </c>
      <c r="D168" t="s">
        <v>13</v>
      </c>
      <c r="E168">
        <v>1.0048999999999999</v>
      </c>
      <c r="F168">
        <v>1</v>
      </c>
      <c r="G168">
        <v>1</v>
      </c>
      <c r="H168">
        <v>1</v>
      </c>
    </row>
    <row r="169" spans="1:8" x14ac:dyDescent="0.2">
      <c r="A169">
        <v>5</v>
      </c>
      <c r="B169">
        <v>13</v>
      </c>
      <c r="C169" t="s">
        <v>11</v>
      </c>
      <c r="D169" t="s">
        <v>16</v>
      </c>
      <c r="E169">
        <v>1</v>
      </c>
      <c r="F169">
        <v>1</v>
      </c>
      <c r="G169">
        <v>1</v>
      </c>
      <c r="H169">
        <v>1</v>
      </c>
    </row>
    <row r="170" spans="1:8" x14ac:dyDescent="0.2">
      <c r="A170">
        <v>5</v>
      </c>
      <c r="B170">
        <v>14</v>
      </c>
      <c r="C170" t="s">
        <v>11</v>
      </c>
      <c r="D170" t="s">
        <v>15</v>
      </c>
      <c r="E170">
        <v>1</v>
      </c>
      <c r="F170">
        <v>1</v>
      </c>
      <c r="G170">
        <v>1</v>
      </c>
      <c r="H170">
        <v>1</v>
      </c>
    </row>
    <row r="171" spans="1:8" x14ac:dyDescent="0.2">
      <c r="A171">
        <v>5</v>
      </c>
      <c r="B171">
        <v>15</v>
      </c>
      <c r="C171" t="s">
        <v>11</v>
      </c>
      <c r="D171" t="s">
        <v>20</v>
      </c>
      <c r="E171">
        <v>1</v>
      </c>
      <c r="F171">
        <v>1</v>
      </c>
      <c r="G171">
        <v>1</v>
      </c>
      <c r="H171">
        <v>1</v>
      </c>
    </row>
    <row r="172" spans="1:8" x14ac:dyDescent="0.2">
      <c r="A172">
        <v>5</v>
      </c>
      <c r="B172">
        <v>16</v>
      </c>
      <c r="C172" t="s">
        <v>11</v>
      </c>
      <c r="D172" t="s">
        <v>21</v>
      </c>
      <c r="E172">
        <v>1</v>
      </c>
      <c r="F172">
        <v>1</v>
      </c>
      <c r="G172">
        <v>1</v>
      </c>
      <c r="H172">
        <v>1</v>
      </c>
    </row>
    <row r="173" spans="1:8" x14ac:dyDescent="0.2">
      <c r="A173">
        <v>5</v>
      </c>
      <c r="B173">
        <v>17</v>
      </c>
      <c r="C173" t="s">
        <v>11</v>
      </c>
      <c r="D173" t="s">
        <v>22</v>
      </c>
      <c r="E173">
        <v>1</v>
      </c>
      <c r="F173">
        <v>1</v>
      </c>
      <c r="G173">
        <v>1</v>
      </c>
      <c r="H173">
        <v>1</v>
      </c>
    </row>
    <row r="174" spans="1:8" x14ac:dyDescent="0.2">
      <c r="A174">
        <v>5</v>
      </c>
      <c r="B174">
        <v>18</v>
      </c>
      <c r="C174" t="s">
        <v>11</v>
      </c>
      <c r="D174" t="s">
        <v>23</v>
      </c>
      <c r="E174">
        <v>1</v>
      </c>
      <c r="F174">
        <v>1</v>
      </c>
      <c r="G174">
        <v>1</v>
      </c>
      <c r="H174">
        <v>1</v>
      </c>
    </row>
    <row r="175" spans="1:8" x14ac:dyDescent="0.2">
      <c r="A175">
        <v>5</v>
      </c>
      <c r="B175">
        <v>19</v>
      </c>
      <c r="C175" t="s">
        <v>11</v>
      </c>
      <c r="D175" t="s">
        <v>24</v>
      </c>
      <c r="E175">
        <v>1</v>
      </c>
      <c r="F175">
        <v>1</v>
      </c>
      <c r="G175">
        <v>1</v>
      </c>
      <c r="H175">
        <v>1</v>
      </c>
    </row>
    <row r="176" spans="1:8" x14ac:dyDescent="0.2">
      <c r="A176">
        <v>5</v>
      </c>
      <c r="B176">
        <v>20</v>
      </c>
      <c r="C176" t="s">
        <v>11</v>
      </c>
      <c r="D176" t="s">
        <v>25</v>
      </c>
      <c r="E176">
        <v>1</v>
      </c>
      <c r="F176">
        <v>1</v>
      </c>
      <c r="G176">
        <v>1</v>
      </c>
      <c r="H176">
        <v>1</v>
      </c>
    </row>
    <row r="177" spans="1:8" x14ac:dyDescent="0.2">
      <c r="A177">
        <v>5</v>
      </c>
      <c r="B177">
        <v>21</v>
      </c>
      <c r="C177" t="s">
        <v>11</v>
      </c>
      <c r="D177" t="s">
        <v>26</v>
      </c>
      <c r="E177">
        <v>1</v>
      </c>
      <c r="F177">
        <v>1</v>
      </c>
      <c r="G177">
        <v>1</v>
      </c>
      <c r="H177">
        <v>1</v>
      </c>
    </row>
    <row r="178" spans="1:8" s="4" customFormat="1" x14ac:dyDescent="0.2">
      <c r="A178" s="4">
        <v>6</v>
      </c>
      <c r="B178" s="4">
        <v>7</v>
      </c>
      <c r="C178" s="4" t="s">
        <v>30</v>
      </c>
      <c r="D178" s="4" t="s">
        <v>29</v>
      </c>
      <c r="E178" s="4">
        <v>1</v>
      </c>
      <c r="F178" s="4">
        <v>1</v>
      </c>
      <c r="G178" s="4">
        <v>1</v>
      </c>
      <c r="H178" s="4">
        <v>1</v>
      </c>
    </row>
    <row r="179" spans="1:8" x14ac:dyDescent="0.2">
      <c r="A179">
        <v>6</v>
      </c>
      <c r="B179">
        <v>8</v>
      </c>
      <c r="C179" t="s">
        <v>30</v>
      </c>
      <c r="D179" t="s">
        <v>4</v>
      </c>
      <c r="E179">
        <v>1</v>
      </c>
      <c r="F179">
        <v>1</v>
      </c>
      <c r="G179">
        <v>1</v>
      </c>
      <c r="H179">
        <v>1</v>
      </c>
    </row>
    <row r="180" spans="1:8" x14ac:dyDescent="0.2">
      <c r="A180">
        <v>6</v>
      </c>
      <c r="B180">
        <v>9</v>
      </c>
      <c r="C180" t="s">
        <v>30</v>
      </c>
      <c r="D180" t="s">
        <v>6</v>
      </c>
      <c r="E180">
        <v>1</v>
      </c>
      <c r="F180">
        <v>1</v>
      </c>
      <c r="G180">
        <v>1</v>
      </c>
      <c r="H180">
        <v>1</v>
      </c>
    </row>
    <row r="181" spans="1:8" x14ac:dyDescent="0.2">
      <c r="A181">
        <v>6</v>
      </c>
      <c r="B181">
        <v>10</v>
      </c>
      <c r="C181" t="s">
        <v>30</v>
      </c>
      <c r="D181" t="s">
        <v>27</v>
      </c>
      <c r="E181">
        <v>1</v>
      </c>
      <c r="F181">
        <v>1</v>
      </c>
      <c r="G181">
        <v>1</v>
      </c>
      <c r="H181">
        <v>1</v>
      </c>
    </row>
    <row r="182" spans="1:8" x14ac:dyDescent="0.2">
      <c r="A182">
        <v>6</v>
      </c>
      <c r="B182">
        <v>11</v>
      </c>
      <c r="C182" t="s">
        <v>30</v>
      </c>
      <c r="D182" t="s">
        <v>12</v>
      </c>
      <c r="E182">
        <v>1</v>
      </c>
      <c r="F182">
        <v>1</v>
      </c>
      <c r="G182">
        <v>1</v>
      </c>
      <c r="H182">
        <v>1</v>
      </c>
    </row>
    <row r="183" spans="1:8" x14ac:dyDescent="0.2">
      <c r="A183">
        <v>6</v>
      </c>
      <c r="B183">
        <v>12</v>
      </c>
      <c r="C183" t="s">
        <v>30</v>
      </c>
      <c r="D183" t="s">
        <v>13</v>
      </c>
      <c r="E183">
        <v>1</v>
      </c>
      <c r="F183">
        <v>1</v>
      </c>
      <c r="G183">
        <v>1</v>
      </c>
      <c r="H183">
        <v>1</v>
      </c>
    </row>
    <row r="184" spans="1:8" x14ac:dyDescent="0.2">
      <c r="A184">
        <v>6</v>
      </c>
      <c r="B184">
        <v>13</v>
      </c>
      <c r="C184" t="s">
        <v>30</v>
      </c>
      <c r="D184" t="s">
        <v>16</v>
      </c>
      <c r="E184">
        <v>1</v>
      </c>
      <c r="F184">
        <v>1</v>
      </c>
      <c r="G184">
        <v>1</v>
      </c>
      <c r="H184">
        <v>1</v>
      </c>
    </row>
    <row r="185" spans="1:8" x14ac:dyDescent="0.2">
      <c r="A185">
        <v>6</v>
      </c>
      <c r="B185">
        <v>14</v>
      </c>
      <c r="C185" t="s">
        <v>30</v>
      </c>
      <c r="D185" t="s">
        <v>15</v>
      </c>
      <c r="E185">
        <v>1</v>
      </c>
      <c r="F185">
        <v>1</v>
      </c>
      <c r="G185">
        <v>1</v>
      </c>
      <c r="H185">
        <v>1</v>
      </c>
    </row>
    <row r="186" spans="1:8" x14ac:dyDescent="0.2">
      <c r="A186">
        <v>6</v>
      </c>
      <c r="B186">
        <v>15</v>
      </c>
      <c r="C186" t="s">
        <v>30</v>
      </c>
      <c r="D186" t="s">
        <v>20</v>
      </c>
      <c r="E186">
        <v>1</v>
      </c>
      <c r="F186">
        <v>1</v>
      </c>
      <c r="G186">
        <v>1</v>
      </c>
      <c r="H186">
        <v>1</v>
      </c>
    </row>
    <row r="187" spans="1:8" x14ac:dyDescent="0.2">
      <c r="A187">
        <v>6</v>
      </c>
      <c r="B187">
        <v>16</v>
      </c>
      <c r="C187" t="s">
        <v>30</v>
      </c>
      <c r="D187" t="s">
        <v>21</v>
      </c>
      <c r="E187">
        <v>1</v>
      </c>
      <c r="F187">
        <v>1</v>
      </c>
      <c r="G187">
        <v>1</v>
      </c>
      <c r="H187">
        <v>1</v>
      </c>
    </row>
    <row r="188" spans="1:8" x14ac:dyDescent="0.2">
      <c r="A188">
        <v>6</v>
      </c>
      <c r="B188">
        <v>17</v>
      </c>
      <c r="C188" t="s">
        <v>30</v>
      </c>
      <c r="D188" t="s">
        <v>22</v>
      </c>
      <c r="E188">
        <v>1</v>
      </c>
      <c r="F188">
        <v>1</v>
      </c>
      <c r="G188">
        <v>1</v>
      </c>
      <c r="H188">
        <v>1</v>
      </c>
    </row>
    <row r="189" spans="1:8" x14ac:dyDescent="0.2">
      <c r="A189">
        <v>6</v>
      </c>
      <c r="B189">
        <v>18</v>
      </c>
      <c r="C189" t="s">
        <v>30</v>
      </c>
      <c r="D189" t="s">
        <v>23</v>
      </c>
      <c r="E189">
        <v>1</v>
      </c>
      <c r="F189">
        <v>1</v>
      </c>
      <c r="G189">
        <v>1</v>
      </c>
      <c r="H189">
        <v>1</v>
      </c>
    </row>
    <row r="190" spans="1:8" x14ac:dyDescent="0.2">
      <c r="A190">
        <v>6</v>
      </c>
      <c r="B190">
        <v>19</v>
      </c>
      <c r="C190" t="s">
        <v>30</v>
      </c>
      <c r="D190" t="s">
        <v>24</v>
      </c>
      <c r="E190">
        <v>1</v>
      </c>
      <c r="F190">
        <v>1</v>
      </c>
      <c r="G190">
        <v>1</v>
      </c>
      <c r="H190">
        <v>1</v>
      </c>
    </row>
    <row r="191" spans="1:8" x14ac:dyDescent="0.2">
      <c r="A191">
        <v>6</v>
      </c>
      <c r="B191">
        <v>20</v>
      </c>
      <c r="C191" t="s">
        <v>30</v>
      </c>
      <c r="D191" t="s">
        <v>25</v>
      </c>
      <c r="E191">
        <v>1</v>
      </c>
      <c r="F191">
        <v>1</v>
      </c>
      <c r="G191">
        <v>1</v>
      </c>
      <c r="H191">
        <v>1</v>
      </c>
    </row>
    <row r="192" spans="1:8" x14ac:dyDescent="0.2">
      <c r="A192">
        <v>6</v>
      </c>
      <c r="B192">
        <v>21</v>
      </c>
      <c r="C192" t="s">
        <v>30</v>
      </c>
      <c r="D192" t="s">
        <v>26</v>
      </c>
      <c r="E192">
        <v>1</v>
      </c>
      <c r="F192">
        <v>1</v>
      </c>
      <c r="G192">
        <v>1</v>
      </c>
      <c r="H192">
        <v>1</v>
      </c>
    </row>
    <row r="193" spans="1:8" s="4" customFormat="1" x14ac:dyDescent="0.2">
      <c r="A193" s="4">
        <v>7</v>
      </c>
      <c r="B193" s="4">
        <v>8</v>
      </c>
      <c r="C193" s="4" t="s">
        <v>28</v>
      </c>
      <c r="D193" s="4" t="s">
        <v>4</v>
      </c>
      <c r="E193" s="4">
        <v>1</v>
      </c>
      <c r="F193" s="4">
        <v>1</v>
      </c>
      <c r="G193" s="4">
        <v>1</v>
      </c>
      <c r="H193" s="4">
        <v>1</v>
      </c>
    </row>
    <row r="194" spans="1:8" x14ac:dyDescent="0.2">
      <c r="A194">
        <v>7</v>
      </c>
      <c r="B194">
        <v>9</v>
      </c>
      <c r="C194" t="s">
        <v>28</v>
      </c>
      <c r="D194" t="s">
        <v>6</v>
      </c>
      <c r="E194">
        <v>1</v>
      </c>
      <c r="F194">
        <v>1</v>
      </c>
      <c r="G194">
        <v>1</v>
      </c>
      <c r="H194">
        <v>1</v>
      </c>
    </row>
    <row r="195" spans="1:8" x14ac:dyDescent="0.2">
      <c r="A195">
        <v>7</v>
      </c>
      <c r="B195">
        <v>10</v>
      </c>
      <c r="C195" t="s">
        <v>28</v>
      </c>
      <c r="D195" t="s">
        <v>27</v>
      </c>
      <c r="E195">
        <v>1</v>
      </c>
      <c r="F195">
        <v>1</v>
      </c>
      <c r="G195">
        <v>1</v>
      </c>
      <c r="H195">
        <v>1</v>
      </c>
    </row>
    <row r="196" spans="1:8" x14ac:dyDescent="0.2">
      <c r="A196">
        <v>7</v>
      </c>
      <c r="B196">
        <v>11</v>
      </c>
      <c r="C196" t="s">
        <v>28</v>
      </c>
      <c r="D196" t="s">
        <v>12</v>
      </c>
      <c r="E196">
        <v>1</v>
      </c>
      <c r="F196">
        <v>1</v>
      </c>
      <c r="G196">
        <v>1</v>
      </c>
      <c r="H196">
        <v>1</v>
      </c>
    </row>
    <row r="197" spans="1:8" x14ac:dyDescent="0.2">
      <c r="A197">
        <v>7</v>
      </c>
      <c r="B197">
        <v>12</v>
      </c>
      <c r="C197" t="s">
        <v>28</v>
      </c>
      <c r="D197" t="s">
        <v>13</v>
      </c>
      <c r="E197">
        <v>1</v>
      </c>
      <c r="F197">
        <v>1</v>
      </c>
      <c r="G197">
        <v>1</v>
      </c>
      <c r="H197">
        <v>1</v>
      </c>
    </row>
    <row r="198" spans="1:8" x14ac:dyDescent="0.2">
      <c r="A198">
        <v>7</v>
      </c>
      <c r="B198">
        <v>13</v>
      </c>
      <c r="C198" t="s">
        <v>28</v>
      </c>
      <c r="D198" t="s">
        <v>16</v>
      </c>
      <c r="E198">
        <v>1</v>
      </c>
      <c r="F198">
        <v>1</v>
      </c>
      <c r="G198">
        <v>1</v>
      </c>
      <c r="H198">
        <v>1</v>
      </c>
    </row>
    <row r="199" spans="1:8" x14ac:dyDescent="0.2">
      <c r="A199">
        <v>7</v>
      </c>
      <c r="B199">
        <v>14</v>
      </c>
      <c r="C199" t="s">
        <v>28</v>
      </c>
      <c r="D199" t="s">
        <v>15</v>
      </c>
      <c r="E199">
        <v>1</v>
      </c>
      <c r="F199">
        <v>1</v>
      </c>
      <c r="G199">
        <v>1</v>
      </c>
      <c r="H199">
        <v>1</v>
      </c>
    </row>
    <row r="200" spans="1:8" x14ac:dyDescent="0.2">
      <c r="A200">
        <v>7</v>
      </c>
      <c r="B200">
        <v>15</v>
      </c>
      <c r="C200" t="s">
        <v>28</v>
      </c>
      <c r="D200" t="s">
        <v>20</v>
      </c>
      <c r="E200">
        <v>1.0086919999999999</v>
      </c>
      <c r="F200">
        <v>1.0289729999999999</v>
      </c>
      <c r="G200">
        <v>0.96813000000000005</v>
      </c>
      <c r="H200">
        <v>1</v>
      </c>
    </row>
    <row r="201" spans="1:8" x14ac:dyDescent="0.2">
      <c r="A201">
        <v>7</v>
      </c>
      <c r="B201">
        <v>16</v>
      </c>
      <c r="C201" t="s">
        <v>28</v>
      </c>
      <c r="D201" t="s">
        <v>21</v>
      </c>
      <c r="E201">
        <v>1.0101260000000001</v>
      </c>
      <c r="F201">
        <v>1.0337540000000001</v>
      </c>
      <c r="G201">
        <v>0.96287</v>
      </c>
      <c r="H201">
        <v>1</v>
      </c>
    </row>
    <row r="202" spans="1:8" x14ac:dyDescent="0.2">
      <c r="A202">
        <v>7</v>
      </c>
      <c r="B202">
        <v>17</v>
      </c>
      <c r="C202" t="s">
        <v>28</v>
      </c>
      <c r="D202" t="s">
        <v>22</v>
      </c>
      <c r="E202">
        <v>1.011501</v>
      </c>
      <c r="F202">
        <v>1.038338</v>
      </c>
      <c r="G202">
        <v>0.95782800000000001</v>
      </c>
      <c r="H202">
        <v>1</v>
      </c>
    </row>
    <row r="203" spans="1:8" x14ac:dyDescent="0.2">
      <c r="A203">
        <v>7</v>
      </c>
      <c r="B203">
        <v>18</v>
      </c>
      <c r="C203" t="s">
        <v>28</v>
      </c>
      <c r="D203" t="s">
        <v>23</v>
      </c>
      <c r="E203">
        <v>1.012821</v>
      </c>
      <c r="F203">
        <v>1.042735</v>
      </c>
      <c r="G203">
        <v>0.95244099999999998</v>
      </c>
      <c r="H203">
        <v>1</v>
      </c>
    </row>
    <row r="204" spans="1:8" x14ac:dyDescent="0.2">
      <c r="A204">
        <v>7</v>
      </c>
      <c r="B204">
        <v>19</v>
      </c>
      <c r="C204" t="s">
        <v>28</v>
      </c>
      <c r="D204" t="s">
        <v>24</v>
      </c>
      <c r="E204">
        <v>1.014089</v>
      </c>
      <c r="F204">
        <v>1.0469660000000001</v>
      </c>
      <c r="G204">
        <v>0.94833800000000001</v>
      </c>
      <c r="H204">
        <v>1</v>
      </c>
    </row>
    <row r="205" spans="1:8" x14ac:dyDescent="0.2">
      <c r="A205">
        <v>7</v>
      </c>
      <c r="B205">
        <v>20</v>
      </c>
      <c r="C205" t="s">
        <v>28</v>
      </c>
      <c r="D205" t="s">
        <v>25</v>
      </c>
      <c r="E205">
        <v>1</v>
      </c>
      <c r="F205">
        <v>1</v>
      </c>
      <c r="G205">
        <v>1</v>
      </c>
      <c r="H205">
        <v>1</v>
      </c>
    </row>
    <row r="206" spans="1:8" x14ac:dyDescent="0.2">
      <c r="A206">
        <v>7</v>
      </c>
      <c r="B206">
        <v>21</v>
      </c>
      <c r="C206" t="s">
        <v>28</v>
      </c>
      <c r="D206" t="s">
        <v>26</v>
      </c>
      <c r="E206">
        <v>1</v>
      </c>
      <c r="F206">
        <v>1</v>
      </c>
      <c r="G206">
        <v>1</v>
      </c>
      <c r="H206">
        <v>1</v>
      </c>
    </row>
    <row r="207" spans="1:8" s="4" customFormat="1" x14ac:dyDescent="0.2">
      <c r="A207" s="4">
        <v>8</v>
      </c>
      <c r="B207" s="4">
        <v>9</v>
      </c>
      <c r="C207" s="4" t="s">
        <v>5</v>
      </c>
      <c r="D207" s="4" t="s">
        <v>6</v>
      </c>
      <c r="E207" s="4">
        <v>1.1000000000000001</v>
      </c>
      <c r="F207" s="4">
        <v>1</v>
      </c>
      <c r="G207" s="4">
        <v>1</v>
      </c>
      <c r="H207" s="4">
        <v>1</v>
      </c>
    </row>
    <row r="208" spans="1:8" x14ac:dyDescent="0.2">
      <c r="A208">
        <v>8</v>
      </c>
      <c r="B208">
        <v>10</v>
      </c>
      <c r="C208" t="s">
        <v>5</v>
      </c>
      <c r="D208" t="s">
        <v>27</v>
      </c>
      <c r="E208">
        <v>1</v>
      </c>
      <c r="F208">
        <v>1</v>
      </c>
      <c r="G208">
        <v>1</v>
      </c>
      <c r="H208">
        <v>1</v>
      </c>
    </row>
    <row r="209" spans="1:8" x14ac:dyDescent="0.2">
      <c r="A209">
        <v>8</v>
      </c>
      <c r="B209">
        <v>11</v>
      </c>
      <c r="C209" t="s">
        <v>5</v>
      </c>
      <c r="D209" t="s">
        <v>12</v>
      </c>
      <c r="E209">
        <v>1.3</v>
      </c>
      <c r="F209">
        <v>1</v>
      </c>
      <c r="G209">
        <v>1</v>
      </c>
      <c r="H209">
        <v>1</v>
      </c>
    </row>
    <row r="210" spans="1:8" x14ac:dyDescent="0.2">
      <c r="A210">
        <v>8</v>
      </c>
      <c r="B210">
        <v>12</v>
      </c>
      <c r="C210" t="s">
        <v>5</v>
      </c>
      <c r="D210" t="s">
        <v>13</v>
      </c>
      <c r="E210">
        <v>1.3</v>
      </c>
      <c r="F210">
        <v>1</v>
      </c>
      <c r="G210">
        <v>1</v>
      </c>
      <c r="H210">
        <v>1</v>
      </c>
    </row>
    <row r="211" spans="1:8" x14ac:dyDescent="0.2">
      <c r="A211">
        <v>8</v>
      </c>
      <c r="B211">
        <v>13</v>
      </c>
      <c r="C211" t="s">
        <v>5</v>
      </c>
      <c r="D211" t="s">
        <v>16</v>
      </c>
      <c r="E211">
        <v>1</v>
      </c>
      <c r="F211">
        <v>1</v>
      </c>
      <c r="G211">
        <v>1</v>
      </c>
      <c r="H211">
        <v>1</v>
      </c>
    </row>
    <row r="212" spans="1:8" x14ac:dyDescent="0.2">
      <c r="A212">
        <v>8</v>
      </c>
      <c r="B212">
        <v>14</v>
      </c>
      <c r="C212" t="s">
        <v>5</v>
      </c>
      <c r="D212" t="s">
        <v>15</v>
      </c>
      <c r="E212">
        <v>1</v>
      </c>
      <c r="F212">
        <v>1</v>
      </c>
      <c r="G212">
        <v>1</v>
      </c>
      <c r="H212">
        <v>1</v>
      </c>
    </row>
    <row r="213" spans="1:8" x14ac:dyDescent="0.2">
      <c r="A213">
        <v>8</v>
      </c>
      <c r="B213">
        <v>15</v>
      </c>
      <c r="C213" t="s">
        <v>5</v>
      </c>
      <c r="D213" t="s">
        <v>20</v>
      </c>
      <c r="E213">
        <v>1</v>
      </c>
      <c r="F213">
        <v>1</v>
      </c>
      <c r="G213">
        <v>1</v>
      </c>
      <c r="H213">
        <v>1</v>
      </c>
    </row>
    <row r="214" spans="1:8" x14ac:dyDescent="0.2">
      <c r="A214">
        <v>8</v>
      </c>
      <c r="B214">
        <v>16</v>
      </c>
      <c r="C214" t="s">
        <v>5</v>
      </c>
      <c r="D214" t="s">
        <v>21</v>
      </c>
      <c r="E214">
        <v>1</v>
      </c>
      <c r="F214">
        <v>1</v>
      </c>
      <c r="G214">
        <v>1</v>
      </c>
      <c r="H214">
        <v>1</v>
      </c>
    </row>
    <row r="215" spans="1:8" x14ac:dyDescent="0.2">
      <c r="A215">
        <v>8</v>
      </c>
      <c r="B215">
        <v>17</v>
      </c>
      <c r="C215" t="s">
        <v>5</v>
      </c>
      <c r="D215" t="s">
        <v>22</v>
      </c>
      <c r="E215">
        <v>1</v>
      </c>
      <c r="F215">
        <v>1</v>
      </c>
      <c r="G215">
        <v>1</v>
      </c>
      <c r="H215">
        <v>1</v>
      </c>
    </row>
    <row r="216" spans="1:8" x14ac:dyDescent="0.2">
      <c r="A216">
        <v>8</v>
      </c>
      <c r="B216">
        <v>18</v>
      </c>
      <c r="C216" t="s">
        <v>5</v>
      </c>
      <c r="D216" t="s">
        <v>23</v>
      </c>
      <c r="E216">
        <v>1</v>
      </c>
      <c r="F216">
        <v>1</v>
      </c>
      <c r="G216">
        <v>1</v>
      </c>
      <c r="H216">
        <v>1</v>
      </c>
    </row>
    <row r="217" spans="1:8" x14ac:dyDescent="0.2">
      <c r="A217">
        <v>8</v>
      </c>
      <c r="B217">
        <v>19</v>
      </c>
      <c r="C217" t="s">
        <v>5</v>
      </c>
      <c r="D217" t="s">
        <v>24</v>
      </c>
      <c r="E217">
        <v>1</v>
      </c>
      <c r="F217">
        <v>1</v>
      </c>
      <c r="G217">
        <v>1</v>
      </c>
      <c r="H217">
        <v>1</v>
      </c>
    </row>
    <row r="218" spans="1:8" x14ac:dyDescent="0.2">
      <c r="A218">
        <v>8</v>
      </c>
      <c r="B218">
        <v>20</v>
      </c>
      <c r="C218" t="s">
        <v>5</v>
      </c>
      <c r="D218" t="s">
        <v>25</v>
      </c>
      <c r="E218">
        <v>1</v>
      </c>
      <c r="F218">
        <v>1</v>
      </c>
      <c r="G218">
        <v>1</v>
      </c>
      <c r="H218">
        <v>1</v>
      </c>
    </row>
    <row r="219" spans="1:8" x14ac:dyDescent="0.2">
      <c r="A219">
        <v>8</v>
      </c>
      <c r="B219">
        <v>21</v>
      </c>
      <c r="C219" t="s">
        <v>5</v>
      </c>
      <c r="D219" t="s">
        <v>26</v>
      </c>
      <c r="E219">
        <v>1</v>
      </c>
      <c r="F219">
        <v>1</v>
      </c>
      <c r="G219">
        <v>1</v>
      </c>
      <c r="H219">
        <v>1</v>
      </c>
    </row>
    <row r="220" spans="1:8" x14ac:dyDescent="0.2">
      <c r="A220" s="6">
        <v>9</v>
      </c>
    </row>
    <row r="231" spans="1:22" x14ac:dyDescent="0.2">
      <c r="A231" t="s">
        <v>82</v>
      </c>
      <c r="B231" t="s">
        <v>31</v>
      </c>
      <c r="C231" t="s">
        <v>32</v>
      </c>
      <c r="D231" t="s">
        <v>35</v>
      </c>
      <c r="E231" t="s">
        <v>39</v>
      </c>
      <c r="F231" t="s">
        <v>40</v>
      </c>
      <c r="G231" t="s">
        <v>38</v>
      </c>
      <c r="H231" t="s">
        <v>37</v>
      </c>
      <c r="I231" t="s">
        <v>83</v>
      </c>
      <c r="J231" t="s">
        <v>36</v>
      </c>
      <c r="K231" t="s">
        <v>34</v>
      </c>
      <c r="L231" t="s">
        <v>44</v>
      </c>
      <c r="M231" t="s">
        <v>46</v>
      </c>
      <c r="N231" t="s">
        <v>45</v>
      </c>
      <c r="O231" t="s">
        <v>47</v>
      </c>
      <c r="P231" t="s">
        <v>84</v>
      </c>
      <c r="Q231" t="s">
        <v>85</v>
      </c>
      <c r="R231" t="s">
        <v>86</v>
      </c>
      <c r="S231" t="s">
        <v>87</v>
      </c>
      <c r="T231" t="s">
        <v>88</v>
      </c>
      <c r="U231" t="s">
        <v>48</v>
      </c>
      <c r="V231" t="s">
        <v>49</v>
      </c>
    </row>
    <row r="232" spans="1:22" x14ac:dyDescent="0.2">
      <c r="A232" t="s">
        <v>63</v>
      </c>
      <c r="B232">
        <v>1</v>
      </c>
      <c r="C232">
        <v>2</v>
      </c>
      <c r="D232">
        <v>3</v>
      </c>
      <c r="E232">
        <v>4</v>
      </c>
      <c r="F232">
        <v>5</v>
      </c>
      <c r="G232">
        <v>6</v>
      </c>
      <c r="H232">
        <v>7</v>
      </c>
      <c r="I232">
        <v>8</v>
      </c>
      <c r="J232">
        <v>9</v>
      </c>
      <c r="K232">
        <v>10</v>
      </c>
      <c r="L232">
        <v>11</v>
      </c>
      <c r="M232">
        <v>12</v>
      </c>
      <c r="N232">
        <v>13</v>
      </c>
      <c r="O232">
        <v>14</v>
      </c>
      <c r="P232">
        <v>15</v>
      </c>
      <c r="Q232">
        <v>16</v>
      </c>
      <c r="R232">
        <v>17</v>
      </c>
      <c r="S232">
        <v>18</v>
      </c>
      <c r="T232">
        <v>19</v>
      </c>
      <c r="U232">
        <v>20</v>
      </c>
      <c r="V232">
        <v>21</v>
      </c>
    </row>
    <row r="233" spans="1:22" x14ac:dyDescent="0.2">
      <c r="A233" t="s">
        <v>0</v>
      </c>
      <c r="B233" t="s">
        <v>7</v>
      </c>
      <c r="C233" t="s">
        <v>3</v>
      </c>
      <c r="D233" t="s">
        <v>1</v>
      </c>
      <c r="E233" t="s">
        <v>8</v>
      </c>
      <c r="F233" t="s">
        <v>10</v>
      </c>
      <c r="G233" t="s">
        <v>30</v>
      </c>
      <c r="H233" t="s">
        <v>28</v>
      </c>
      <c r="I233" t="s">
        <v>4</v>
      </c>
      <c r="J233" t="s">
        <v>6</v>
      </c>
      <c r="K233" t="s">
        <v>27</v>
      </c>
      <c r="L233" t="s">
        <v>12</v>
      </c>
      <c r="M233" t="s">
        <v>13</v>
      </c>
      <c r="N233" t="s">
        <v>16</v>
      </c>
      <c r="O233" t="s">
        <v>14</v>
      </c>
      <c r="P233" t="s">
        <v>17</v>
      </c>
      <c r="Q233" t="s">
        <v>18</v>
      </c>
      <c r="R233" t="s">
        <v>19</v>
      </c>
      <c r="S233" t="s">
        <v>89</v>
      </c>
      <c r="T233" t="s">
        <v>90</v>
      </c>
      <c r="U233" t="s">
        <v>25</v>
      </c>
      <c r="V233" t="s">
        <v>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D356F-20FF-45A6-9A60-3E85276F9179}">
  <sheetPr codeName="Sheet4"/>
  <dimension ref="A1:H25"/>
  <sheetViews>
    <sheetView tabSelected="1" topLeftCell="A4" workbookViewId="0">
      <selection activeCell="K22" sqref="K22"/>
    </sheetView>
  </sheetViews>
  <sheetFormatPr defaultRowHeight="14.25" x14ac:dyDescent="0.2"/>
  <cols>
    <col min="3" max="8" width="9.875" bestFit="1" customWidth="1"/>
  </cols>
  <sheetData>
    <row r="1" spans="1:8" x14ac:dyDescent="0.2">
      <c r="A1" t="s">
        <v>35</v>
      </c>
      <c r="B1">
        <v>3</v>
      </c>
      <c r="C1">
        <v>6.0000000000000001E-3</v>
      </c>
      <c r="D1">
        <v>5.0000000000000001E-3</v>
      </c>
      <c r="E1">
        <v>1.4999999999999999E-2</v>
      </c>
      <c r="F1">
        <v>1.6E-2</v>
      </c>
      <c r="G1">
        <v>7.5999999999999998E-2</v>
      </c>
      <c r="H1">
        <v>1.0999999999999999E-2</v>
      </c>
    </row>
    <row r="2" spans="1:8" x14ac:dyDescent="0.2">
      <c r="A2" t="s">
        <v>32</v>
      </c>
      <c r="B2">
        <v>2</v>
      </c>
      <c r="C2">
        <v>3.0000000000000001E-3</v>
      </c>
      <c r="D2">
        <v>3.1E-2</v>
      </c>
      <c r="E2">
        <v>0.01</v>
      </c>
      <c r="F2">
        <v>0.1</v>
      </c>
      <c r="G2">
        <v>5.7000000000000002E-2</v>
      </c>
      <c r="H2">
        <v>0.11700000000000001</v>
      </c>
    </row>
    <row r="3" spans="1:8" x14ac:dyDescent="0.2">
      <c r="A3" t="s">
        <v>33</v>
      </c>
      <c r="B3">
        <v>8</v>
      </c>
      <c r="C3">
        <v>0</v>
      </c>
      <c r="D3">
        <v>0</v>
      </c>
      <c r="E3">
        <v>0</v>
      </c>
      <c r="F3">
        <v>9.5000000000000001E-2</v>
      </c>
      <c r="G3">
        <v>0</v>
      </c>
      <c r="H3">
        <v>0</v>
      </c>
    </row>
    <row r="4" spans="1:8" x14ac:dyDescent="0.2">
      <c r="A4" t="s">
        <v>36</v>
      </c>
      <c r="B4">
        <v>9</v>
      </c>
      <c r="C4">
        <v>0</v>
      </c>
      <c r="D4">
        <v>0</v>
      </c>
      <c r="E4">
        <v>0</v>
      </c>
      <c r="F4">
        <v>0.01</v>
      </c>
      <c r="G4">
        <v>0</v>
      </c>
      <c r="H4">
        <v>0</v>
      </c>
    </row>
    <row r="5" spans="1:8" x14ac:dyDescent="0.2">
      <c r="A5" t="s">
        <v>31</v>
      </c>
      <c r="B5">
        <v>1</v>
      </c>
      <c r="C5">
        <v>0.96499999999999997</v>
      </c>
      <c r="D5">
        <v>0.90700000000000003</v>
      </c>
      <c r="E5">
        <v>0.85899999999999999</v>
      </c>
      <c r="F5">
        <v>0.73499999999999999</v>
      </c>
      <c r="G5">
        <v>0.81200000000000006</v>
      </c>
      <c r="H5">
        <v>0.82599999999999996</v>
      </c>
    </row>
    <row r="6" spans="1:8" x14ac:dyDescent="0.2">
      <c r="A6" t="s">
        <v>39</v>
      </c>
      <c r="B6">
        <v>4</v>
      </c>
      <c r="C6">
        <v>1.7999999999999999E-2</v>
      </c>
      <c r="D6">
        <v>4.4999999999999998E-2</v>
      </c>
      <c r="E6">
        <v>8.5000000000000006E-2</v>
      </c>
      <c r="F6">
        <v>3.3000000000000002E-2</v>
      </c>
      <c r="G6">
        <v>4.2999999999999997E-2</v>
      </c>
      <c r="H6">
        <v>3.5000000000000003E-2</v>
      </c>
    </row>
    <row r="7" spans="1:8" x14ac:dyDescent="0.2">
      <c r="A7" t="s">
        <v>40</v>
      </c>
      <c r="B7">
        <v>5</v>
      </c>
      <c r="C7">
        <v>4.4999999999999997E-3</v>
      </c>
      <c r="D7">
        <v>8.3999999999999995E-3</v>
      </c>
      <c r="E7">
        <v>2.3E-2</v>
      </c>
      <c r="F7">
        <v>7.4000000000000003E-3</v>
      </c>
      <c r="G7">
        <v>8.9999999999999993E-3</v>
      </c>
      <c r="H7">
        <v>7.4999999999999997E-3</v>
      </c>
    </row>
    <row r="8" spans="1:8" x14ac:dyDescent="0.2">
      <c r="A8" t="s">
        <v>44</v>
      </c>
      <c r="B8">
        <v>11</v>
      </c>
      <c r="C8">
        <v>1E-3</v>
      </c>
      <c r="D8">
        <v>1E-3</v>
      </c>
      <c r="E8">
        <v>3.5000000000000001E-3</v>
      </c>
      <c r="F8">
        <v>1.1999999999999999E-3</v>
      </c>
      <c r="G8">
        <v>1.5E-3</v>
      </c>
      <c r="H8">
        <v>1.1999999999999999E-3</v>
      </c>
    </row>
    <row r="9" spans="1:8" x14ac:dyDescent="0.2">
      <c r="A9" t="s">
        <v>46</v>
      </c>
      <c r="B9">
        <v>12</v>
      </c>
      <c r="C9">
        <v>1E-3</v>
      </c>
      <c r="D9">
        <v>1.5E-3</v>
      </c>
      <c r="E9">
        <v>3.5000000000000001E-3</v>
      </c>
      <c r="F9">
        <v>1.1999999999999999E-3</v>
      </c>
      <c r="G9">
        <v>1.5E-3</v>
      </c>
      <c r="H9">
        <v>1.1999999999999999E-3</v>
      </c>
    </row>
    <row r="10" spans="1:8" x14ac:dyDescent="0.2">
      <c r="A10" t="s">
        <v>45</v>
      </c>
      <c r="B10">
        <v>13</v>
      </c>
      <c r="C10">
        <v>5.0000000000000001E-4</v>
      </c>
      <c r="D10">
        <v>2.9999999999999997E-4</v>
      </c>
      <c r="E10">
        <v>5.0000000000000001E-4</v>
      </c>
      <c r="F10">
        <v>4.0000000000000002E-4</v>
      </c>
      <c r="G10">
        <v>0</v>
      </c>
      <c r="H10">
        <v>4.0000000000000002E-4</v>
      </c>
    </row>
    <row r="11" spans="1:8" x14ac:dyDescent="0.2">
      <c r="A11" t="s">
        <v>47</v>
      </c>
      <c r="B11">
        <v>14</v>
      </c>
      <c r="C11">
        <v>2.9999999999999997E-4</v>
      </c>
      <c r="D11">
        <v>4.0000000000000002E-4</v>
      </c>
      <c r="E11">
        <v>5.0000000000000001E-4</v>
      </c>
      <c r="F11">
        <v>4.0000000000000002E-4</v>
      </c>
      <c r="G11">
        <v>0</v>
      </c>
      <c r="H11">
        <v>4.0000000000000002E-4</v>
      </c>
    </row>
    <row r="12" spans="1:8" x14ac:dyDescent="0.2">
      <c r="A12" t="s">
        <v>41</v>
      </c>
      <c r="B12">
        <v>15</v>
      </c>
      <c r="C12">
        <v>6.9999999999999999E-4</v>
      </c>
      <c r="D12">
        <v>4.0000000000000002E-4</v>
      </c>
      <c r="E12">
        <v>0</v>
      </c>
      <c r="F12">
        <v>2.0000000000000001E-4</v>
      </c>
      <c r="G12">
        <v>0</v>
      </c>
      <c r="H12">
        <v>2.0000000000000001E-4</v>
      </c>
    </row>
    <row r="13" spans="1:8" x14ac:dyDescent="0.2">
      <c r="A13" t="s">
        <v>42</v>
      </c>
      <c r="B13">
        <v>16</v>
      </c>
      <c r="C13">
        <v>0</v>
      </c>
      <c r="D13">
        <v>0</v>
      </c>
      <c r="E13">
        <v>0</v>
      </c>
      <c r="F13">
        <v>1E-4</v>
      </c>
      <c r="G13">
        <v>0</v>
      </c>
      <c r="H13">
        <v>1E-4</v>
      </c>
    </row>
    <row r="14" spans="1:8" x14ac:dyDescent="0.2">
      <c r="A14" t="s">
        <v>43</v>
      </c>
      <c r="B14">
        <v>17</v>
      </c>
      <c r="C14">
        <v>0</v>
      </c>
      <c r="D14">
        <v>0</v>
      </c>
      <c r="E14">
        <v>0</v>
      </c>
      <c r="F14">
        <v>1E-4</v>
      </c>
      <c r="G14">
        <v>0</v>
      </c>
      <c r="H14">
        <v>0</v>
      </c>
    </row>
    <row r="15" spans="1:8" x14ac:dyDescent="0.2">
      <c r="A15" t="s">
        <v>139</v>
      </c>
      <c r="B15" t="s">
        <v>140</v>
      </c>
      <c r="C15" t="s">
        <v>141</v>
      </c>
      <c r="D15" t="s">
        <v>141</v>
      </c>
      <c r="E15" t="s">
        <v>141</v>
      </c>
      <c r="F15" t="s">
        <v>141</v>
      </c>
      <c r="G15" t="s">
        <v>141</v>
      </c>
      <c r="H15" t="s">
        <v>141</v>
      </c>
    </row>
    <row r="16" spans="1:8" x14ac:dyDescent="0.2">
      <c r="A16">
        <v>6</v>
      </c>
      <c r="B16">
        <v>-3.15</v>
      </c>
      <c r="C16" s="10">
        <f>Z_XiPT_AGA(C$1:C$14,$A$1:$A$14,$A16,$B16)</f>
        <v>0.84052745452013966</v>
      </c>
      <c r="D16" s="10">
        <f t="shared" ref="D16:H16" si="0">Z_XiPT_AGA(D$1:D$14,$A$1:$A$14,$A16,$B16)</f>
        <v>0.83347965651526479</v>
      </c>
      <c r="E16" s="10">
        <f t="shared" si="0"/>
        <v>0.7938016468226673</v>
      </c>
      <c r="F16" s="10">
        <f t="shared" si="0"/>
        <v>0.88550078965056045</v>
      </c>
      <c r="G16" s="10">
        <f t="shared" si="0"/>
        <v>0.82609010897761104</v>
      </c>
      <c r="H16" s="10">
        <f t="shared" si="0"/>
        <v>0.85380298639530128</v>
      </c>
    </row>
    <row r="17" spans="1:8" x14ac:dyDescent="0.2">
      <c r="A17">
        <v>6</v>
      </c>
      <c r="B17">
        <v>6.85</v>
      </c>
      <c r="C17" s="10">
        <f t="shared" ref="C17:H25" si="1">Z_XiPT_AGA(C$1:C$14,$A$1:$A$14,$A17,$B17)</f>
        <v>0.86199337858717173</v>
      </c>
      <c r="D17" s="10">
        <f t="shared" si="1"/>
        <v>0.85596320094048484</v>
      </c>
      <c r="E17" s="10">
        <f t="shared" si="1"/>
        <v>0.82206375721870795</v>
      </c>
      <c r="F17" s="10">
        <f t="shared" si="1"/>
        <v>0.90143893411008391</v>
      </c>
      <c r="G17" s="10">
        <f t="shared" si="1"/>
        <v>0.84969080523388552</v>
      </c>
      <c r="H17" s="10">
        <f t="shared" si="1"/>
        <v>0.87370389278256044</v>
      </c>
    </row>
    <row r="18" spans="1:8" x14ac:dyDescent="0.2">
      <c r="A18">
        <v>6</v>
      </c>
      <c r="B18">
        <v>16.850000000000001</v>
      </c>
      <c r="C18" s="10">
        <f t="shared" si="1"/>
        <v>0.88006233088291919</v>
      </c>
      <c r="D18" s="10">
        <f t="shared" si="1"/>
        <v>0.87484329525310101</v>
      </c>
      <c r="E18" s="10">
        <f t="shared" si="1"/>
        <v>0.84544431408060705</v>
      </c>
      <c r="F18" s="10">
        <f t="shared" si="1"/>
        <v>0.91501117728862347</v>
      </c>
      <c r="G18" s="10">
        <f t="shared" si="1"/>
        <v>0.86943939552451988</v>
      </c>
      <c r="H18" s="10">
        <f t="shared" si="1"/>
        <v>0.89051676670007773</v>
      </c>
    </row>
    <row r="19" spans="1:8" x14ac:dyDescent="0.2">
      <c r="A19">
        <v>6</v>
      </c>
      <c r="B19">
        <v>36.85</v>
      </c>
      <c r="C19" s="10">
        <f t="shared" si="1"/>
        <v>0.90867071882621087</v>
      </c>
      <c r="D19" s="10">
        <f t="shared" si="1"/>
        <v>0.90466223226670262</v>
      </c>
      <c r="E19" s="10">
        <f t="shared" si="1"/>
        <v>0.88183005656999136</v>
      </c>
      <c r="F19" s="10">
        <f t="shared" si="1"/>
        <v>0.93674285536067625</v>
      </c>
      <c r="G19" s="10">
        <f t="shared" si="1"/>
        <v>0.90051937885053646</v>
      </c>
      <c r="H19" s="10">
        <f t="shared" si="1"/>
        <v>0.91722768511961816</v>
      </c>
    </row>
    <row r="20" spans="1:8" x14ac:dyDescent="0.2">
      <c r="A20">
        <v>6</v>
      </c>
      <c r="B20">
        <v>56.85</v>
      </c>
      <c r="C20" s="10">
        <f t="shared" si="1"/>
        <v>0.93010897528149039</v>
      </c>
      <c r="D20" s="10">
        <f t="shared" si="1"/>
        <v>0.92695727693760399</v>
      </c>
      <c r="E20" s="10">
        <f t="shared" si="1"/>
        <v>0.90868351193962282</v>
      </c>
      <c r="F20" s="10">
        <f t="shared" si="1"/>
        <v>0.9531783066167111</v>
      </c>
      <c r="G20" s="10">
        <f t="shared" si="1"/>
        <v>0.92368323749584935</v>
      </c>
      <c r="H20" s="10">
        <f t="shared" si="1"/>
        <v>0.93729754747844751</v>
      </c>
    </row>
    <row r="21" spans="1:8" x14ac:dyDescent="0.2">
      <c r="A21">
        <v>12</v>
      </c>
      <c r="B21">
        <v>-3.15</v>
      </c>
      <c r="C21" s="10">
        <f t="shared" si="1"/>
        <v>0.72133120563803665</v>
      </c>
      <c r="D21" s="10">
        <f t="shared" si="1"/>
        <v>0.71043918366626946</v>
      </c>
      <c r="E21" s="10">
        <f t="shared" si="1"/>
        <v>0.64144549234640469</v>
      </c>
      <c r="F21" s="10">
        <f t="shared" si="1"/>
        <v>0.81023767905062838</v>
      </c>
      <c r="G21" s="10">
        <f t="shared" si="1"/>
        <v>0.69540017864082493</v>
      </c>
      <c r="H21" s="10">
        <f t="shared" si="1"/>
        <v>0.75074192738104728</v>
      </c>
    </row>
    <row r="22" spans="1:8" x14ac:dyDescent="0.2">
      <c r="A22">
        <v>12</v>
      </c>
      <c r="B22">
        <v>6.85</v>
      </c>
      <c r="C22" s="10">
        <f t="shared" si="1"/>
        <v>0.76025099871051505</v>
      </c>
      <c r="D22" s="10">
        <f t="shared" si="1"/>
        <v>0.75065826277632475</v>
      </c>
      <c r="E22" s="10">
        <f t="shared" si="1"/>
        <v>0.68970830655276261</v>
      </c>
      <c r="F22" s="10">
        <f t="shared" si="1"/>
        <v>0.8378151357085809</v>
      </c>
      <c r="G22" s="10">
        <f t="shared" si="1"/>
        <v>0.73780029963747784</v>
      </c>
      <c r="H22" s="10">
        <f t="shared" si="1"/>
        <v>0.78585962234774531</v>
      </c>
    </row>
    <row r="23" spans="1:8" x14ac:dyDescent="0.2">
      <c r="A23">
        <v>12</v>
      </c>
      <c r="B23">
        <v>16.850000000000001</v>
      </c>
      <c r="C23" s="10">
        <f t="shared" si="1"/>
        <v>0.793165704444732</v>
      </c>
      <c r="D23" s="10">
        <f t="shared" si="1"/>
        <v>0.78474952289137823</v>
      </c>
      <c r="E23" s="10">
        <f t="shared" si="1"/>
        <v>0.73123208139231788</v>
      </c>
      <c r="F23" s="10">
        <f t="shared" si="1"/>
        <v>0.8613730238874755</v>
      </c>
      <c r="G23" s="10">
        <f t="shared" si="1"/>
        <v>0.77368761522533303</v>
      </c>
      <c r="H23" s="10">
        <f t="shared" si="1"/>
        <v>0.81569327875760822</v>
      </c>
    </row>
    <row r="24" spans="1:8" x14ac:dyDescent="0.2">
      <c r="A24">
        <v>12</v>
      </c>
      <c r="B24">
        <v>36.85</v>
      </c>
      <c r="C24" s="10">
        <f t="shared" si="1"/>
        <v>0.84515178882069086</v>
      </c>
      <c r="D24" s="10">
        <f t="shared" si="1"/>
        <v>0.83863055492733141</v>
      </c>
      <c r="E24" s="10">
        <f t="shared" si="1"/>
        <v>0.79697474415810943</v>
      </c>
      <c r="F24" s="10">
        <f t="shared" si="1"/>
        <v>0.89913173399782853</v>
      </c>
      <c r="G24" s="10">
        <f t="shared" si="1"/>
        <v>0.83022403455533955</v>
      </c>
      <c r="H24" s="10">
        <f t="shared" si="1"/>
        <v>0.86311045480183723</v>
      </c>
    </row>
    <row r="25" spans="1:8" x14ac:dyDescent="0.2">
      <c r="A25">
        <v>12</v>
      </c>
      <c r="B25">
        <v>56.85</v>
      </c>
      <c r="C25" s="10">
        <f t="shared" si="1"/>
        <v>0.88383087049422171</v>
      </c>
      <c r="D25" s="10">
        <f t="shared" si="1"/>
        <v>0.8787026443968361</v>
      </c>
      <c r="E25" s="10">
        <f t="shared" si="1"/>
        <v>0.84553329898139318</v>
      </c>
      <c r="F25" s="10">
        <f t="shared" si="1"/>
        <v>0.92766328471581883</v>
      </c>
      <c r="G25" s="10">
        <f t="shared" si="1"/>
        <v>0.87210779252663551</v>
      </c>
      <c r="H25" s="10">
        <f t="shared" si="1"/>
        <v>0.89861741177643761</v>
      </c>
    </row>
  </sheetData>
  <phoneticPr fontId="1" type="noConversion"/>
  <dataValidations count="2">
    <dataValidation type="list" allowBlank="1" showInputMessage="1" showErrorMessage="1" sqref="A1:A14" xr:uid="{9DA9F187-2205-4ECF-ADC6-6F9C5AEB877B}">
      <formula1>"x(CH4),x(N2),x(CO2),x(C2H6),x(C3H8),x(H2O),x(H2S),x(H2),x(CO),x(O2),x(i-C4H10),x(n-C4H10),x(i-C5H12),x(n-C5H12),x(C6H14),x(C7H16),x(C8H18),x(C9H20),x(C10H22),x(He),x(Ar)"</formula1>
    </dataValidation>
    <dataValidation type="decimal" allowBlank="1" showInputMessage="1" showErrorMessage="1" sqref="C1:C14" xr:uid="{055E76BB-7668-498D-8B1E-E8F971D92F18}">
      <formula1>0</formula1>
      <formula2>1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B4E7-E7D5-43F7-B3F5-EF5B527D631B}">
  <sheetPr codeName="Sheet3"/>
  <dimension ref="A1:N16"/>
  <sheetViews>
    <sheetView topLeftCell="D16" zoomScale="115" zoomScaleNormal="115" workbookViewId="0">
      <selection activeCell="G21" sqref="G21"/>
    </sheetView>
  </sheetViews>
  <sheetFormatPr defaultRowHeight="15.75" x14ac:dyDescent="0.25"/>
  <cols>
    <col min="2" max="2" width="11.5" style="9" customWidth="1"/>
    <col min="3" max="5" width="9" style="9"/>
    <col min="6" max="6" width="16" style="9" customWidth="1"/>
    <col min="7" max="7" width="15.5" style="9" customWidth="1"/>
    <col min="8" max="8" width="19" style="9" customWidth="1"/>
    <col min="10" max="10" width="13.75" bestFit="1" customWidth="1"/>
    <col min="12" max="13" width="12.375" bestFit="1" customWidth="1"/>
    <col min="14" max="14" width="13.5" bestFit="1" customWidth="1"/>
  </cols>
  <sheetData>
    <row r="1" spans="1:14" x14ac:dyDescent="0.25">
      <c r="D1" s="12"/>
      <c r="E1" s="13" t="s">
        <v>100</v>
      </c>
      <c r="F1" s="13" t="s">
        <v>136</v>
      </c>
      <c r="G1" s="13" t="s">
        <v>137</v>
      </c>
      <c r="H1" s="13" t="s">
        <v>138</v>
      </c>
      <c r="K1" s="13" t="s">
        <v>197</v>
      </c>
      <c r="L1" s="13" t="s">
        <v>194</v>
      </c>
      <c r="M1" s="13" t="s">
        <v>195</v>
      </c>
      <c r="N1" s="13" t="s">
        <v>196</v>
      </c>
    </row>
    <row r="2" spans="1:14" ht="23.25" x14ac:dyDescent="0.4">
      <c r="A2" s="7" t="s">
        <v>96</v>
      </c>
      <c r="B2" s="9">
        <v>285.83</v>
      </c>
      <c r="D2" s="15" t="s">
        <v>101</v>
      </c>
      <c r="E2" s="13" t="s">
        <v>102</v>
      </c>
      <c r="F2" s="17" t="s">
        <v>106</v>
      </c>
      <c r="G2" s="17" t="s">
        <v>107</v>
      </c>
      <c r="H2" s="17" t="s">
        <v>108</v>
      </c>
      <c r="J2" t="s">
        <v>101</v>
      </c>
      <c r="K2" s="11" t="s">
        <v>146</v>
      </c>
      <c r="L2" t="s">
        <v>158</v>
      </c>
      <c r="M2" t="s">
        <v>159</v>
      </c>
      <c r="N2" t="s">
        <v>160</v>
      </c>
    </row>
    <row r="3" spans="1:14" ht="20.25" x14ac:dyDescent="0.3">
      <c r="A3" s="7" t="s">
        <v>91</v>
      </c>
      <c r="B3" s="9">
        <v>282.98</v>
      </c>
      <c r="D3" s="15" t="s">
        <v>101</v>
      </c>
      <c r="E3" s="13" t="s">
        <v>143</v>
      </c>
      <c r="F3" s="17" t="s">
        <v>109</v>
      </c>
      <c r="G3" s="17" t="s">
        <v>110</v>
      </c>
      <c r="H3" s="17" t="s">
        <v>111</v>
      </c>
      <c r="J3" t="s">
        <v>101</v>
      </c>
      <c r="K3" s="11" t="s">
        <v>142</v>
      </c>
      <c r="L3" t="s">
        <v>161</v>
      </c>
      <c r="M3" t="s">
        <v>162</v>
      </c>
      <c r="N3" t="s">
        <v>163</v>
      </c>
    </row>
    <row r="4" spans="1:14" ht="23.25" x14ac:dyDescent="0.4">
      <c r="A4" s="8" t="s">
        <v>97</v>
      </c>
      <c r="B4" s="9">
        <v>28.013500000000001</v>
      </c>
      <c r="D4" s="15" t="s">
        <v>101</v>
      </c>
      <c r="E4" s="13" t="s">
        <v>4</v>
      </c>
      <c r="F4" s="17" t="s">
        <v>112</v>
      </c>
      <c r="G4" s="17" t="s">
        <v>113</v>
      </c>
      <c r="H4" s="17" t="s">
        <v>114</v>
      </c>
      <c r="J4" t="s">
        <v>101</v>
      </c>
      <c r="K4" s="11" t="s">
        <v>4</v>
      </c>
      <c r="L4" t="s">
        <v>164</v>
      </c>
      <c r="M4" t="s">
        <v>165</v>
      </c>
      <c r="N4" t="s">
        <v>166</v>
      </c>
    </row>
    <row r="5" spans="1:14" ht="23.25" x14ac:dyDescent="0.4">
      <c r="A5" s="7" t="s">
        <v>93</v>
      </c>
      <c r="B5" s="9">
        <v>44.01</v>
      </c>
      <c r="D5" s="15" t="s">
        <v>144</v>
      </c>
      <c r="E5" s="13">
        <v>22</v>
      </c>
      <c r="F5" s="17" t="s">
        <v>115</v>
      </c>
      <c r="G5" s="17" t="s">
        <v>116</v>
      </c>
      <c r="H5" s="17" t="s">
        <v>117</v>
      </c>
      <c r="J5" t="s">
        <v>144</v>
      </c>
      <c r="K5" s="11">
        <v>222</v>
      </c>
      <c r="L5" t="s">
        <v>157</v>
      </c>
      <c r="M5" t="s">
        <v>167</v>
      </c>
      <c r="N5" t="s">
        <v>168</v>
      </c>
    </row>
    <row r="6" spans="1:14" ht="23.25" x14ac:dyDescent="0.4">
      <c r="A6" s="7" t="s">
        <v>94</v>
      </c>
      <c r="B6" s="9">
        <v>2.0158999999999998</v>
      </c>
      <c r="D6" s="15" t="s">
        <v>149</v>
      </c>
      <c r="E6" s="13">
        <v>33</v>
      </c>
      <c r="F6" s="17" t="s">
        <v>118</v>
      </c>
      <c r="G6" s="17" t="s">
        <v>119</v>
      </c>
      <c r="H6" s="17" t="s">
        <v>104</v>
      </c>
      <c r="J6" t="s">
        <v>149</v>
      </c>
      <c r="K6" s="11">
        <v>333</v>
      </c>
      <c r="L6" t="s">
        <v>169</v>
      </c>
      <c r="M6" t="s">
        <v>170</v>
      </c>
      <c r="N6" t="s">
        <v>171</v>
      </c>
    </row>
    <row r="7" spans="1:14" ht="23.25" x14ac:dyDescent="0.4">
      <c r="A7" s="7" t="s">
        <v>95</v>
      </c>
      <c r="B7" s="9">
        <v>28.01</v>
      </c>
      <c r="D7" s="15" t="s">
        <v>145</v>
      </c>
      <c r="E7" s="13">
        <v>44</v>
      </c>
      <c r="F7" s="17" t="s">
        <v>120</v>
      </c>
      <c r="G7" s="17" t="s">
        <v>121</v>
      </c>
      <c r="H7" s="17" t="s">
        <v>122</v>
      </c>
      <c r="J7" t="s">
        <v>145</v>
      </c>
      <c r="K7" s="11">
        <v>444</v>
      </c>
      <c r="L7" t="s">
        <v>172</v>
      </c>
      <c r="M7" t="s">
        <v>173</v>
      </c>
      <c r="N7" t="s">
        <v>174</v>
      </c>
    </row>
    <row r="8" spans="1:14" ht="20.25" x14ac:dyDescent="0.3">
      <c r="A8" s="7" t="s">
        <v>92</v>
      </c>
      <c r="B8" s="9">
        <v>8.3145100000000007E-3</v>
      </c>
      <c r="D8" s="15" t="s">
        <v>6</v>
      </c>
      <c r="E8" s="13">
        <v>55</v>
      </c>
      <c r="F8" s="17" t="s">
        <v>123</v>
      </c>
      <c r="G8" s="17" t="s">
        <v>124</v>
      </c>
      <c r="H8" s="17" t="s">
        <v>125</v>
      </c>
      <c r="J8" t="s">
        <v>147</v>
      </c>
      <c r="K8" s="11">
        <v>112</v>
      </c>
      <c r="L8" t="s">
        <v>186</v>
      </c>
    </row>
    <row r="9" spans="1:14" ht="21" customHeight="1" x14ac:dyDescent="0.3">
      <c r="A9" s="7" t="s">
        <v>99</v>
      </c>
      <c r="B9" s="9">
        <v>22.414097000000002</v>
      </c>
      <c r="D9" s="15" t="s">
        <v>188</v>
      </c>
      <c r="E9" s="13">
        <v>12</v>
      </c>
      <c r="F9" s="16" t="s">
        <v>193</v>
      </c>
      <c r="G9" s="17"/>
      <c r="H9" s="17"/>
      <c r="J9" t="s">
        <v>150</v>
      </c>
      <c r="K9" s="11">
        <v>113</v>
      </c>
      <c r="L9" t="s">
        <v>179</v>
      </c>
    </row>
    <row r="10" spans="1:14" ht="20.25" x14ac:dyDescent="0.3">
      <c r="A10" s="7" t="s">
        <v>98</v>
      </c>
      <c r="B10" s="9">
        <v>1.292923</v>
      </c>
      <c r="D10" s="15" t="s">
        <v>189</v>
      </c>
      <c r="E10" s="13">
        <v>13</v>
      </c>
      <c r="F10" s="17" t="s">
        <v>105</v>
      </c>
      <c r="G10" s="17"/>
      <c r="H10" s="17"/>
      <c r="J10" t="s">
        <v>151</v>
      </c>
      <c r="K10" s="11">
        <v>114</v>
      </c>
      <c r="L10" t="s">
        <v>187</v>
      </c>
    </row>
    <row r="11" spans="1:14" x14ac:dyDescent="0.25">
      <c r="D11" s="15" t="s">
        <v>190</v>
      </c>
      <c r="E11" s="13">
        <v>14</v>
      </c>
      <c r="F11" s="17" t="s">
        <v>126</v>
      </c>
      <c r="G11" s="17" t="s">
        <v>127</v>
      </c>
      <c r="H11" s="17" t="s">
        <v>128</v>
      </c>
      <c r="J11" t="s">
        <v>148</v>
      </c>
      <c r="K11" s="11">
        <v>115</v>
      </c>
      <c r="L11" t="s">
        <v>175</v>
      </c>
      <c r="M11" t="s">
        <v>176</v>
      </c>
      <c r="N11" t="s">
        <v>177</v>
      </c>
    </row>
    <row r="12" spans="1:14" ht="16.5" customHeight="1" x14ac:dyDescent="0.25">
      <c r="D12" s="15" t="s">
        <v>103</v>
      </c>
      <c r="E12" s="13">
        <v>15</v>
      </c>
      <c r="F12" s="17" t="s">
        <v>129</v>
      </c>
      <c r="G12" s="17" t="s">
        <v>130</v>
      </c>
      <c r="H12" s="17" t="s">
        <v>131</v>
      </c>
      <c r="J12" t="s">
        <v>152</v>
      </c>
      <c r="K12" s="11">
        <v>122</v>
      </c>
      <c r="L12" t="s">
        <v>186</v>
      </c>
    </row>
    <row r="13" spans="1:14" x14ac:dyDescent="0.25">
      <c r="D13" s="15" t="s">
        <v>191</v>
      </c>
      <c r="E13" s="13">
        <v>23</v>
      </c>
      <c r="F13" s="17" t="s">
        <v>132</v>
      </c>
      <c r="G13" s="17" t="s">
        <v>133</v>
      </c>
      <c r="H13" s="17" t="s">
        <v>134</v>
      </c>
      <c r="J13" t="s">
        <v>153</v>
      </c>
      <c r="K13" s="11">
        <v>123</v>
      </c>
      <c r="L13" t="s">
        <v>178</v>
      </c>
    </row>
    <row r="14" spans="1:14" x14ac:dyDescent="0.25">
      <c r="D14" s="15" t="s">
        <v>192</v>
      </c>
      <c r="E14" s="13">
        <v>24</v>
      </c>
      <c r="F14" s="17" t="s">
        <v>135</v>
      </c>
      <c r="G14" s="17">
        <v>0</v>
      </c>
      <c r="H14" s="17">
        <v>0</v>
      </c>
      <c r="J14" t="s">
        <v>154</v>
      </c>
      <c r="K14" s="11">
        <v>133</v>
      </c>
      <c r="L14" t="s">
        <v>179</v>
      </c>
    </row>
    <row r="15" spans="1:14" x14ac:dyDescent="0.25">
      <c r="D15" s="14"/>
      <c r="E15" s="14"/>
      <c r="F15" s="14"/>
      <c r="G15" s="14"/>
      <c r="H15" s="14"/>
      <c r="J15" t="s">
        <v>155</v>
      </c>
      <c r="K15" s="11">
        <v>223</v>
      </c>
      <c r="L15" t="s">
        <v>180</v>
      </c>
      <c r="M15" t="s">
        <v>181</v>
      </c>
      <c r="N15" t="s">
        <v>182</v>
      </c>
    </row>
    <row r="16" spans="1:14" x14ac:dyDescent="0.25">
      <c r="J16" t="s">
        <v>156</v>
      </c>
      <c r="K16" s="11">
        <v>233</v>
      </c>
      <c r="L16" t="s">
        <v>183</v>
      </c>
      <c r="M16" t="s">
        <v>184</v>
      </c>
      <c r="N16" t="s">
        <v>185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AGA8-92DC参数</vt:lpstr>
      <vt:lpstr>AGA8-92DC-test</vt:lpstr>
      <vt:lpstr>SGERG-88</vt:lpstr>
      <vt:lpstr>'AGA8-92DC参数'!新建文本文档__2__2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2018-12-25T08:32:53Z</dcterms:modified>
</cp:coreProperties>
</file>